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OCALIZATION LOMBARD EFFECT\mc20250207\"/>
    </mc:Choice>
  </mc:AlternateContent>
  <xr:revisionPtr revIDLastSave="0" documentId="13_ncr:1_{7ADE1732-068B-4A32-9130-1FA6F350F5FE}" xr6:coauthVersionLast="36" xr6:coauthVersionMax="36" xr10:uidLastSave="{00000000-0000-0000-0000-000000000000}"/>
  <bookViews>
    <workbookView xWindow="0" yWindow="0" windowWidth="28800" windowHeight="14025" xr2:uid="{EA3F0CBE-C953-4893-AC42-5394403EDE01}"/>
  </bookViews>
  <sheets>
    <sheet name="Sheet1" sheetId="1" r:id="rId1"/>
  </sheets>
  <definedNames>
    <definedName name="_xlnm._FilterDatabase" localSheetId="0" hidden="1">Sheet1!$A$1:$L$180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2" i="1" l="1"/>
  <c r="C182" i="1" s="1"/>
  <c r="D182" i="1" s="1"/>
  <c r="B183" i="1"/>
  <c r="C183" i="1"/>
  <c r="D183" i="1" s="1"/>
  <c r="E183" i="1" s="1"/>
  <c r="B184" i="1"/>
  <c r="C184" i="1" s="1"/>
  <c r="B185" i="1"/>
  <c r="B186" i="1"/>
  <c r="C186" i="1"/>
  <c r="D186" i="1"/>
  <c r="E186" i="1"/>
  <c r="B187" i="1"/>
  <c r="C187" i="1" s="1"/>
  <c r="D187" i="1" s="1"/>
  <c r="B188" i="1"/>
  <c r="D188" i="1" s="1"/>
  <c r="E188" i="1" s="1"/>
  <c r="C188" i="1"/>
  <c r="B189" i="1"/>
  <c r="B190" i="1"/>
  <c r="C190" i="1"/>
  <c r="D190" i="1" s="1"/>
  <c r="E190" i="1" s="1"/>
  <c r="B191" i="1"/>
  <c r="C191" i="1"/>
  <c r="D191" i="1"/>
  <c r="E191" i="1" s="1"/>
  <c r="B192" i="1"/>
  <c r="C192" i="1" s="1"/>
  <c r="D192" i="1" s="1"/>
  <c r="B193" i="1"/>
  <c r="C193" i="1"/>
  <c r="B194" i="1"/>
  <c r="B195" i="1"/>
  <c r="C195" i="1"/>
  <c r="D195" i="1"/>
  <c r="E195" i="1" s="1"/>
  <c r="B196" i="1"/>
  <c r="C196" i="1" s="1"/>
  <c r="B197" i="1"/>
  <c r="C197" i="1" s="1"/>
  <c r="D197" i="1" s="1"/>
  <c r="B198" i="1"/>
  <c r="C198" i="1"/>
  <c r="D198" i="1" s="1"/>
  <c r="E198" i="1" s="1"/>
  <c r="B199" i="1"/>
  <c r="C199" i="1"/>
  <c r="D199" i="1" s="1"/>
  <c r="B200" i="1"/>
  <c r="C200" i="1"/>
  <c r="D200" i="1"/>
  <c r="E200" i="1" s="1"/>
  <c r="B201" i="1"/>
  <c r="C201" i="1"/>
  <c r="D201" i="1" s="1"/>
  <c r="E201" i="1" s="1"/>
  <c r="B202" i="1"/>
  <c r="C202" i="1" s="1"/>
  <c r="D202" i="1" s="1"/>
  <c r="B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181" i="1"/>
  <c r="K180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181" i="1"/>
  <c r="D184" i="1" l="1"/>
  <c r="E184" i="1" s="1"/>
  <c r="D196" i="1"/>
  <c r="C185" i="1"/>
  <c r="D185" i="1" s="1"/>
  <c r="C194" i="1"/>
  <c r="D194" i="1" s="1"/>
  <c r="C189" i="1"/>
  <c r="D189" i="1" s="1"/>
  <c r="E196" i="1"/>
  <c r="E199" i="1"/>
  <c r="D193" i="1"/>
  <c r="E193" i="1" s="1"/>
  <c r="E202" i="1"/>
  <c r="E197" i="1"/>
  <c r="E192" i="1"/>
  <c r="E187" i="1"/>
  <c r="E182" i="1"/>
  <c r="C181" i="1"/>
  <c r="K58" i="1"/>
  <c r="K57" i="1"/>
  <c r="G57" i="1" s="1"/>
  <c r="K49" i="1"/>
  <c r="G49" i="1" s="1"/>
  <c r="K48" i="1"/>
  <c r="G48" i="1"/>
  <c r="K47" i="1"/>
  <c r="G47" i="1"/>
  <c r="K46" i="1"/>
  <c r="K43" i="1"/>
  <c r="G43" i="1"/>
  <c r="K42" i="1"/>
  <c r="K38" i="1"/>
  <c r="K36" i="1"/>
  <c r="G36" i="1" s="1"/>
  <c r="K35" i="1"/>
  <c r="G35" i="1"/>
  <c r="K31" i="1"/>
  <c r="G31" i="1"/>
  <c r="K30" i="1"/>
  <c r="K29" i="1"/>
  <c r="G29" i="1"/>
  <c r="K28" i="1"/>
  <c r="G28" i="1" s="1"/>
  <c r="K27" i="1"/>
  <c r="G27" i="1"/>
  <c r="K23" i="1"/>
  <c r="G23" i="1" s="1"/>
  <c r="K17" i="1"/>
  <c r="G17" i="1" s="1"/>
  <c r="K15" i="1"/>
  <c r="G15" i="1" s="1"/>
  <c r="K14" i="1"/>
  <c r="K13" i="1"/>
  <c r="G13" i="1"/>
  <c r="K12" i="1"/>
  <c r="G12" i="1"/>
  <c r="K8" i="1"/>
  <c r="G8" i="1"/>
  <c r="K7" i="1"/>
  <c r="G7" i="1"/>
  <c r="K3" i="1"/>
  <c r="G3" i="1"/>
  <c r="K2" i="1"/>
  <c r="G2" i="1" s="1"/>
  <c r="F39" i="1"/>
  <c r="K39" i="1" s="1"/>
  <c r="G39" i="1" s="1"/>
  <c r="F40" i="1"/>
  <c r="K40" i="1" s="1"/>
  <c r="F41" i="1"/>
  <c r="K41" i="1" s="1"/>
  <c r="G41" i="1" s="1"/>
  <c r="F42" i="1"/>
  <c r="F43" i="1"/>
  <c r="F44" i="1"/>
  <c r="K44" i="1" s="1"/>
  <c r="G44" i="1" s="1"/>
  <c r="F45" i="1"/>
  <c r="K45" i="1" s="1"/>
  <c r="G45" i="1" s="1"/>
  <c r="F46" i="1"/>
  <c r="F47" i="1"/>
  <c r="F48" i="1"/>
  <c r="F49" i="1"/>
  <c r="F50" i="1"/>
  <c r="K50" i="1" s="1"/>
  <c r="F51" i="1"/>
  <c r="K51" i="1" s="1"/>
  <c r="G51" i="1" s="1"/>
  <c r="F52" i="1"/>
  <c r="K52" i="1" s="1"/>
  <c r="G52" i="1" s="1"/>
  <c r="F53" i="1"/>
  <c r="K53" i="1" s="1"/>
  <c r="G53" i="1" s="1"/>
  <c r="F54" i="1"/>
  <c r="K54" i="1" s="1"/>
  <c r="F55" i="1"/>
  <c r="K55" i="1" s="1"/>
  <c r="G55" i="1" s="1"/>
  <c r="F56" i="1"/>
  <c r="K56" i="1" s="1"/>
  <c r="G56" i="1" s="1"/>
  <c r="F57" i="1"/>
  <c r="F58" i="1"/>
  <c r="F4" i="1"/>
  <c r="K4" i="1" s="1"/>
  <c r="F5" i="1"/>
  <c r="K5" i="1" s="1"/>
  <c r="G5" i="1" s="1"/>
  <c r="F6" i="1"/>
  <c r="K6" i="1" s="1"/>
  <c r="F7" i="1"/>
  <c r="F8" i="1"/>
  <c r="F9" i="1"/>
  <c r="K9" i="1" s="1"/>
  <c r="G9" i="1" s="1"/>
  <c r="F10" i="1"/>
  <c r="K10" i="1" s="1"/>
  <c r="F11" i="1"/>
  <c r="K11" i="1" s="1"/>
  <c r="G11" i="1" s="1"/>
  <c r="F12" i="1"/>
  <c r="F13" i="1"/>
  <c r="F14" i="1"/>
  <c r="F15" i="1"/>
  <c r="F16" i="1"/>
  <c r="K16" i="1" s="1"/>
  <c r="F17" i="1"/>
  <c r="F18" i="1"/>
  <c r="K18" i="1" s="1"/>
  <c r="F19" i="1"/>
  <c r="K19" i="1" s="1"/>
  <c r="G19" i="1" s="1"/>
  <c r="F20" i="1"/>
  <c r="K20" i="1" s="1"/>
  <c r="F21" i="1"/>
  <c r="K21" i="1" s="1"/>
  <c r="G21" i="1" s="1"/>
  <c r="F22" i="1"/>
  <c r="K22" i="1" s="1"/>
  <c r="F23" i="1"/>
  <c r="F24" i="1"/>
  <c r="K24" i="1" s="1"/>
  <c r="F25" i="1"/>
  <c r="K25" i="1" s="1"/>
  <c r="G25" i="1" s="1"/>
  <c r="F26" i="1"/>
  <c r="K26" i="1" s="1"/>
  <c r="F27" i="1"/>
  <c r="F28" i="1"/>
  <c r="F29" i="1"/>
  <c r="F30" i="1"/>
  <c r="F31" i="1"/>
  <c r="F32" i="1"/>
  <c r="K32" i="1" s="1"/>
  <c r="F33" i="1"/>
  <c r="K33" i="1" s="1"/>
  <c r="G33" i="1" s="1"/>
  <c r="F34" i="1"/>
  <c r="K34" i="1" s="1"/>
  <c r="F35" i="1"/>
  <c r="F36" i="1"/>
  <c r="F37" i="1"/>
  <c r="K37" i="1" s="1"/>
  <c r="G37" i="1" s="1"/>
  <c r="F38" i="1"/>
  <c r="F3" i="1"/>
  <c r="F2" i="1"/>
  <c r="E189" i="1" l="1"/>
  <c r="E185" i="1"/>
  <c r="E194" i="1"/>
  <c r="D181" i="1"/>
  <c r="E181" i="1" s="1"/>
  <c r="G24" i="1"/>
  <c r="H24" i="1" s="1"/>
  <c r="G16" i="1"/>
  <c r="H16" i="1" s="1"/>
  <c r="I16" i="1" s="1"/>
  <c r="J16" i="1" s="1"/>
  <c r="G4" i="1"/>
  <c r="H4" i="1" s="1"/>
  <c r="I4" i="1" s="1"/>
  <c r="J4" i="1" s="1"/>
  <c r="G32" i="1"/>
  <c r="G40" i="1"/>
  <c r="G20" i="1"/>
  <c r="H20" i="1" s="1"/>
  <c r="I20" i="1" s="1"/>
  <c r="J20" i="1" s="1"/>
  <c r="H36" i="1"/>
  <c r="I36" i="1" s="1"/>
  <c r="J36" i="1" s="1"/>
  <c r="H28" i="1"/>
  <c r="I28" i="1" s="1"/>
  <c r="J28" i="1" s="1"/>
  <c r="H12" i="1"/>
  <c r="I12" i="1" s="1"/>
  <c r="J12" i="1" s="1"/>
  <c r="H8" i="1"/>
  <c r="I9" i="1"/>
  <c r="J9" i="1" s="1"/>
  <c r="H15" i="1"/>
  <c r="I15" i="1" s="1"/>
  <c r="H19" i="1"/>
  <c r="H23" i="1"/>
  <c r="H27" i="1"/>
  <c r="H31" i="1"/>
  <c r="H35" i="1"/>
  <c r="I35" i="1" s="1"/>
  <c r="J35" i="1" s="1"/>
  <c r="H39" i="1"/>
  <c r="H43" i="1"/>
  <c r="I43" i="1" s="1"/>
  <c r="J43" i="1" s="1"/>
  <c r="H47" i="1"/>
  <c r="I47" i="1" s="1"/>
  <c r="J47" i="1" s="1"/>
  <c r="H51" i="1"/>
  <c r="H55" i="1"/>
  <c r="I55" i="1"/>
  <c r="J55" i="1" s="1"/>
  <c r="H11" i="1"/>
  <c r="I11" i="1" s="1"/>
  <c r="J11" i="1" s="1"/>
  <c r="H44" i="1"/>
  <c r="H48" i="1"/>
  <c r="H52" i="1"/>
  <c r="I52" i="1" s="1"/>
  <c r="H56" i="1"/>
  <c r="H3" i="1"/>
  <c r="I3" i="1" s="1"/>
  <c r="J3" i="1" s="1"/>
  <c r="H7" i="1"/>
  <c r="I7" i="1" s="1"/>
  <c r="H5" i="1"/>
  <c r="H9" i="1"/>
  <c r="H13" i="1"/>
  <c r="H17" i="1"/>
  <c r="H21" i="1"/>
  <c r="H25" i="1"/>
  <c r="I25" i="1" s="1"/>
  <c r="H29" i="1"/>
  <c r="I29" i="1" s="1"/>
  <c r="J29" i="1" s="1"/>
  <c r="H33" i="1"/>
  <c r="H37" i="1"/>
  <c r="H41" i="1"/>
  <c r="H45" i="1"/>
  <c r="H49" i="1"/>
  <c r="I49" i="1" s="1"/>
  <c r="J49" i="1" s="1"/>
  <c r="H53" i="1"/>
  <c r="H57" i="1"/>
  <c r="I57" i="1" s="1"/>
  <c r="G6" i="1"/>
  <c r="H6" i="1" s="1"/>
  <c r="G10" i="1"/>
  <c r="H10" i="1" s="1"/>
  <c r="I10" i="1" s="1"/>
  <c r="G14" i="1"/>
  <c r="H14" i="1" s="1"/>
  <c r="G18" i="1"/>
  <c r="H18" i="1" s="1"/>
  <c r="I18" i="1" s="1"/>
  <c r="G22" i="1"/>
  <c r="H22" i="1" s="1"/>
  <c r="G26" i="1"/>
  <c r="H26" i="1" s="1"/>
  <c r="G30" i="1"/>
  <c r="H30" i="1" s="1"/>
  <c r="I30" i="1" s="1"/>
  <c r="G34" i="1"/>
  <c r="G38" i="1"/>
  <c r="G42" i="1"/>
  <c r="G46" i="1"/>
  <c r="G50" i="1"/>
  <c r="G54" i="1"/>
  <c r="G58" i="1"/>
  <c r="H2" i="1"/>
  <c r="I2" i="1" s="1"/>
  <c r="F84" i="1"/>
  <c r="B84" i="1" s="1"/>
  <c r="F101" i="1"/>
  <c r="B101" i="1" s="1"/>
  <c r="K108" i="1"/>
  <c r="G108" i="1" s="1"/>
  <c r="K110" i="1"/>
  <c r="G110" i="1" s="1"/>
  <c r="K118" i="1"/>
  <c r="K163" i="1"/>
  <c r="G163" i="1" s="1"/>
  <c r="H163" i="1" s="1"/>
  <c r="K166" i="1"/>
  <c r="G166" i="1" s="1"/>
  <c r="H166" i="1" s="1"/>
  <c r="K168" i="1"/>
  <c r="G168" i="1" s="1"/>
  <c r="H168" i="1" s="1"/>
  <c r="I168" i="1" s="1"/>
  <c r="K174" i="1"/>
  <c r="G174" i="1" s="1"/>
  <c r="H174" i="1" s="1"/>
  <c r="F126" i="1"/>
  <c r="B126" i="1" s="1"/>
  <c r="C126" i="1" s="1"/>
  <c r="K142" i="1"/>
  <c r="F142" i="1" s="1"/>
  <c r="B142" i="1" s="1"/>
  <c r="C142" i="1" s="1"/>
  <c r="K141" i="1"/>
  <c r="F141" i="1" s="1"/>
  <c r="B141" i="1" s="1"/>
  <c r="C141" i="1" s="1"/>
  <c r="K140" i="1"/>
  <c r="F140" i="1" s="1"/>
  <c r="K139" i="1"/>
  <c r="F139" i="1" s="1"/>
  <c r="B139" i="1" s="1"/>
  <c r="C139" i="1" s="1"/>
  <c r="K138" i="1"/>
  <c r="F138" i="1" s="1"/>
  <c r="B138" i="1" s="1"/>
  <c r="C138" i="1" s="1"/>
  <c r="K137" i="1"/>
  <c r="F137" i="1" s="1"/>
  <c r="B137" i="1" s="1"/>
  <c r="C137" i="1" s="1"/>
  <c r="K136" i="1"/>
  <c r="F136" i="1" s="1"/>
  <c r="B136" i="1" s="1"/>
  <c r="C136" i="1" s="1"/>
  <c r="K135" i="1"/>
  <c r="F135" i="1" s="1"/>
  <c r="B135" i="1" s="1"/>
  <c r="C135" i="1" s="1"/>
  <c r="K134" i="1"/>
  <c r="F134" i="1" s="1"/>
  <c r="B134" i="1" s="1"/>
  <c r="C134" i="1" s="1"/>
  <c r="K133" i="1"/>
  <c r="F133" i="1" s="1"/>
  <c r="B133" i="1" s="1"/>
  <c r="C133" i="1" s="1"/>
  <c r="K132" i="1"/>
  <c r="F132" i="1" s="1"/>
  <c r="B132" i="1" s="1"/>
  <c r="C132" i="1" s="1"/>
  <c r="K131" i="1"/>
  <c r="F131" i="1" s="1"/>
  <c r="B131" i="1" s="1"/>
  <c r="C131" i="1" s="1"/>
  <c r="K130" i="1"/>
  <c r="F130" i="1" s="1"/>
  <c r="B130" i="1" s="1"/>
  <c r="K129" i="1"/>
  <c r="F129" i="1" s="1"/>
  <c r="B129" i="1" s="1"/>
  <c r="C129" i="1" s="1"/>
  <c r="K128" i="1"/>
  <c r="F128" i="1" s="1"/>
  <c r="B128" i="1" s="1"/>
  <c r="C128" i="1" s="1"/>
  <c r="K127" i="1"/>
  <c r="F127" i="1" s="1"/>
  <c r="B127" i="1" s="1"/>
  <c r="C127" i="1" s="1"/>
  <c r="K126" i="1"/>
  <c r="K125" i="1"/>
  <c r="F125" i="1" s="1"/>
  <c r="K102" i="1"/>
  <c r="F102" i="1" s="1"/>
  <c r="K101" i="1"/>
  <c r="K100" i="1"/>
  <c r="F100" i="1" s="1"/>
  <c r="B100" i="1" s="1"/>
  <c r="K99" i="1"/>
  <c r="F99" i="1" s="1"/>
  <c r="B99" i="1" s="1"/>
  <c r="K98" i="1"/>
  <c r="F98" i="1" s="1"/>
  <c r="K97" i="1"/>
  <c r="F97" i="1" s="1"/>
  <c r="B97" i="1" s="1"/>
  <c r="K96" i="1"/>
  <c r="F96" i="1" s="1"/>
  <c r="B96" i="1" s="1"/>
  <c r="K95" i="1"/>
  <c r="F95" i="1" s="1"/>
  <c r="B95" i="1" s="1"/>
  <c r="K94" i="1"/>
  <c r="F94" i="1" s="1"/>
  <c r="K93" i="1"/>
  <c r="F93" i="1" s="1"/>
  <c r="B93" i="1" s="1"/>
  <c r="K92" i="1"/>
  <c r="F92" i="1" s="1"/>
  <c r="B92" i="1" s="1"/>
  <c r="K91" i="1"/>
  <c r="F91" i="1" s="1"/>
  <c r="K90" i="1"/>
  <c r="F90" i="1" s="1"/>
  <c r="K89" i="1"/>
  <c r="F89" i="1" s="1"/>
  <c r="B89" i="1" s="1"/>
  <c r="K88" i="1"/>
  <c r="F88" i="1" s="1"/>
  <c r="B88" i="1" s="1"/>
  <c r="K87" i="1"/>
  <c r="F87" i="1" s="1"/>
  <c r="K86" i="1"/>
  <c r="F86" i="1" s="1"/>
  <c r="B86" i="1" s="1"/>
  <c r="K85" i="1"/>
  <c r="F85" i="1" s="1"/>
  <c r="B85" i="1" s="1"/>
  <c r="K84" i="1"/>
  <c r="K83" i="1"/>
  <c r="F83" i="1" s="1"/>
  <c r="K82" i="1"/>
  <c r="F82" i="1" s="1"/>
  <c r="B82" i="1" s="1"/>
  <c r="K81" i="1"/>
  <c r="F81" i="1" s="1"/>
  <c r="B81" i="1" s="1"/>
  <c r="K80" i="1"/>
  <c r="F80" i="1" s="1"/>
  <c r="B80" i="1" s="1"/>
  <c r="K79" i="1"/>
  <c r="F79" i="1" s="1"/>
  <c r="B79" i="1" s="1"/>
  <c r="K78" i="1"/>
  <c r="F78" i="1" s="1"/>
  <c r="B78" i="1" s="1"/>
  <c r="K77" i="1"/>
  <c r="F77" i="1" s="1"/>
  <c r="B77" i="1" s="1"/>
  <c r="K76" i="1"/>
  <c r="F76" i="1" s="1"/>
  <c r="B76" i="1" s="1"/>
  <c r="K75" i="1"/>
  <c r="F75" i="1" s="1"/>
  <c r="K74" i="1"/>
  <c r="F74" i="1" s="1"/>
  <c r="B74" i="1" s="1"/>
  <c r="K73" i="1"/>
  <c r="F73" i="1" s="1"/>
  <c r="B73" i="1" s="1"/>
  <c r="K72" i="1"/>
  <c r="F72" i="1" s="1"/>
  <c r="B72" i="1" s="1"/>
  <c r="K71" i="1"/>
  <c r="F71" i="1" s="1"/>
  <c r="K70" i="1"/>
  <c r="F70" i="1" s="1"/>
  <c r="B70" i="1" s="1"/>
  <c r="K69" i="1"/>
  <c r="F69" i="1" s="1"/>
  <c r="B69" i="1" s="1"/>
  <c r="K68" i="1"/>
  <c r="F68" i="1" s="1"/>
  <c r="B68" i="1" s="1"/>
  <c r="K67" i="1"/>
  <c r="F67" i="1" s="1"/>
  <c r="K66" i="1"/>
  <c r="F66" i="1" s="1"/>
  <c r="B66" i="1" s="1"/>
  <c r="K65" i="1"/>
  <c r="F65" i="1" s="1"/>
  <c r="B65" i="1" s="1"/>
  <c r="K64" i="1"/>
  <c r="F64" i="1" s="1"/>
  <c r="B64" i="1" s="1"/>
  <c r="K63" i="1"/>
  <c r="F63" i="1" s="1"/>
  <c r="K62" i="1"/>
  <c r="F62" i="1" s="1"/>
  <c r="B62" i="1" s="1"/>
  <c r="K61" i="1"/>
  <c r="F61" i="1" s="1"/>
  <c r="B61" i="1" s="1"/>
  <c r="K60" i="1"/>
  <c r="F60" i="1" s="1"/>
  <c r="B60" i="1" s="1"/>
  <c r="K59" i="1"/>
  <c r="F59" i="1" s="1"/>
  <c r="F180" i="1"/>
  <c r="F179" i="1"/>
  <c r="K179" i="1" s="1"/>
  <c r="G179" i="1" s="1"/>
  <c r="H179" i="1" s="1"/>
  <c r="F178" i="1"/>
  <c r="K178" i="1" s="1"/>
  <c r="G178" i="1" s="1"/>
  <c r="H178" i="1" s="1"/>
  <c r="F177" i="1"/>
  <c r="K177" i="1" s="1"/>
  <c r="G177" i="1" s="1"/>
  <c r="H177" i="1" s="1"/>
  <c r="F176" i="1"/>
  <c r="K176" i="1" s="1"/>
  <c r="G176" i="1" s="1"/>
  <c r="H176" i="1" s="1"/>
  <c r="F175" i="1"/>
  <c r="K175" i="1" s="1"/>
  <c r="F174" i="1"/>
  <c r="F173" i="1"/>
  <c r="K173" i="1" s="1"/>
  <c r="G173" i="1" s="1"/>
  <c r="H173" i="1" s="1"/>
  <c r="F172" i="1"/>
  <c r="K172" i="1" s="1"/>
  <c r="G172" i="1" s="1"/>
  <c r="H172" i="1" s="1"/>
  <c r="F171" i="1"/>
  <c r="K171" i="1" s="1"/>
  <c r="G171" i="1" s="1"/>
  <c r="H171" i="1" s="1"/>
  <c r="F170" i="1"/>
  <c r="K170" i="1" s="1"/>
  <c r="G170" i="1" s="1"/>
  <c r="F169" i="1"/>
  <c r="K169" i="1" s="1"/>
  <c r="G169" i="1" s="1"/>
  <c r="H169" i="1" s="1"/>
  <c r="F168" i="1"/>
  <c r="F167" i="1"/>
  <c r="K167" i="1" s="1"/>
  <c r="G167" i="1" s="1"/>
  <c r="H167" i="1" s="1"/>
  <c r="F166" i="1"/>
  <c r="F165" i="1"/>
  <c r="K165" i="1" s="1"/>
  <c r="G165" i="1" s="1"/>
  <c r="H165" i="1" s="1"/>
  <c r="F164" i="1"/>
  <c r="K164" i="1" s="1"/>
  <c r="G164" i="1" s="1"/>
  <c r="H164" i="1" s="1"/>
  <c r="F163" i="1"/>
  <c r="F162" i="1"/>
  <c r="K162" i="1" s="1"/>
  <c r="G162" i="1" s="1"/>
  <c r="H162" i="1" s="1"/>
  <c r="F161" i="1"/>
  <c r="K161" i="1" s="1"/>
  <c r="G161" i="1" s="1"/>
  <c r="H161" i="1" s="1"/>
  <c r="F160" i="1"/>
  <c r="K160" i="1" s="1"/>
  <c r="G160" i="1" s="1"/>
  <c r="F159" i="1"/>
  <c r="K159" i="1" s="1"/>
  <c r="G159" i="1" s="1"/>
  <c r="F158" i="1"/>
  <c r="K158" i="1" s="1"/>
  <c r="G158" i="1" s="1"/>
  <c r="F157" i="1"/>
  <c r="K157" i="1" s="1"/>
  <c r="G157" i="1" s="1"/>
  <c r="F156" i="1"/>
  <c r="K156" i="1" s="1"/>
  <c r="G156" i="1" s="1"/>
  <c r="F155" i="1"/>
  <c r="K155" i="1" s="1"/>
  <c r="G155" i="1" s="1"/>
  <c r="F154" i="1"/>
  <c r="K154" i="1" s="1"/>
  <c r="G154" i="1" s="1"/>
  <c r="F153" i="1"/>
  <c r="K153" i="1" s="1"/>
  <c r="G153" i="1" s="1"/>
  <c r="F152" i="1"/>
  <c r="K152" i="1" s="1"/>
  <c r="G152" i="1" s="1"/>
  <c r="F151" i="1"/>
  <c r="K151" i="1" s="1"/>
  <c r="G151" i="1" s="1"/>
  <c r="H151" i="1" s="1"/>
  <c r="F150" i="1"/>
  <c r="K150" i="1" s="1"/>
  <c r="G150" i="1" s="1"/>
  <c r="F149" i="1"/>
  <c r="K149" i="1" s="1"/>
  <c r="G149" i="1" s="1"/>
  <c r="F148" i="1"/>
  <c r="K148" i="1" s="1"/>
  <c r="G148" i="1" s="1"/>
  <c r="F147" i="1"/>
  <c r="K147" i="1" s="1"/>
  <c r="G147" i="1" s="1"/>
  <c r="H147" i="1" s="1"/>
  <c r="F146" i="1"/>
  <c r="K146" i="1" s="1"/>
  <c r="G146" i="1" s="1"/>
  <c r="F145" i="1"/>
  <c r="K145" i="1" s="1"/>
  <c r="G145" i="1" s="1"/>
  <c r="F144" i="1"/>
  <c r="K144" i="1" s="1"/>
  <c r="G144" i="1" s="1"/>
  <c r="F143" i="1"/>
  <c r="K143" i="1" s="1"/>
  <c r="G143" i="1" s="1"/>
  <c r="F124" i="1"/>
  <c r="K124" i="1" s="1"/>
  <c r="G124" i="1" s="1"/>
  <c r="F123" i="1"/>
  <c r="K123" i="1" s="1"/>
  <c r="G123" i="1" s="1"/>
  <c r="F122" i="1"/>
  <c r="K122" i="1" s="1"/>
  <c r="G122" i="1" s="1"/>
  <c r="F121" i="1"/>
  <c r="K121" i="1" s="1"/>
  <c r="F120" i="1"/>
  <c r="K120" i="1" s="1"/>
  <c r="G120" i="1" s="1"/>
  <c r="F119" i="1"/>
  <c r="K119" i="1" s="1"/>
  <c r="F118" i="1"/>
  <c r="F117" i="1"/>
  <c r="K117" i="1" s="1"/>
  <c r="G117" i="1" s="1"/>
  <c r="F116" i="1"/>
  <c r="K116" i="1" s="1"/>
  <c r="G116" i="1" s="1"/>
  <c r="F115" i="1"/>
  <c r="K115" i="1" s="1"/>
  <c r="F114" i="1"/>
  <c r="K114" i="1" s="1"/>
  <c r="F113" i="1"/>
  <c r="K113" i="1" s="1"/>
  <c r="G113" i="1" s="1"/>
  <c r="F112" i="1"/>
  <c r="K112" i="1" s="1"/>
  <c r="G112" i="1" s="1"/>
  <c r="F111" i="1"/>
  <c r="K111" i="1" s="1"/>
  <c r="F110" i="1"/>
  <c r="F109" i="1"/>
  <c r="K109" i="1" s="1"/>
  <c r="G109" i="1" s="1"/>
  <c r="F108" i="1"/>
  <c r="F107" i="1"/>
  <c r="K107" i="1" s="1"/>
  <c r="G107" i="1" s="1"/>
  <c r="F106" i="1"/>
  <c r="K106" i="1" s="1"/>
  <c r="F105" i="1"/>
  <c r="K105" i="1" s="1"/>
  <c r="G105" i="1" s="1"/>
  <c r="F104" i="1"/>
  <c r="K104" i="1" s="1"/>
  <c r="G104" i="1" s="1"/>
  <c r="F103" i="1"/>
  <c r="K103" i="1" s="1"/>
  <c r="I24" i="1" l="1"/>
  <c r="J24" i="1" s="1"/>
  <c r="J51" i="1"/>
  <c r="J53" i="1"/>
  <c r="I8" i="1"/>
  <c r="J8" i="1" s="1"/>
  <c r="J56" i="1"/>
  <c r="J31" i="1"/>
  <c r="J19" i="1"/>
  <c r="I23" i="1"/>
  <c r="J23" i="1" s="1"/>
  <c r="H40" i="1"/>
  <c r="I40" i="1" s="1"/>
  <c r="J40" i="1" s="1"/>
  <c r="J15" i="1"/>
  <c r="I51" i="1"/>
  <c r="I33" i="1"/>
  <c r="J33" i="1" s="1"/>
  <c r="H32" i="1"/>
  <c r="I32" i="1" s="1"/>
  <c r="J32" i="1" s="1"/>
  <c r="I56" i="1"/>
  <c r="I17" i="1"/>
  <c r="J17" i="1" s="1"/>
  <c r="I53" i="1"/>
  <c r="J7" i="1"/>
  <c r="I39" i="1"/>
  <c r="J39" i="1" s="1"/>
  <c r="I6" i="1"/>
  <c r="J6" i="1" s="1"/>
  <c r="I45" i="1"/>
  <c r="J45" i="1" s="1"/>
  <c r="I31" i="1"/>
  <c r="I19" i="1"/>
  <c r="I37" i="1"/>
  <c r="J37" i="1" s="1"/>
  <c r="I13" i="1"/>
  <c r="J13" i="1" s="1"/>
  <c r="I41" i="1"/>
  <c r="J41" i="1" s="1"/>
  <c r="I22" i="1"/>
  <c r="J22" i="1" s="1"/>
  <c r="I26" i="1"/>
  <c r="J26" i="1" s="1"/>
  <c r="I14" i="1"/>
  <c r="J14" i="1"/>
  <c r="J10" i="1"/>
  <c r="J30" i="1"/>
  <c r="J57" i="1"/>
  <c r="I21" i="1"/>
  <c r="J21" i="1" s="1"/>
  <c r="I27" i="1"/>
  <c r="J27" i="1" s="1"/>
  <c r="H58" i="1"/>
  <c r="I58" i="1" s="1"/>
  <c r="H54" i="1"/>
  <c r="H50" i="1"/>
  <c r="I50" i="1" s="1"/>
  <c r="H46" i="1"/>
  <c r="I46" i="1" s="1"/>
  <c r="H42" i="1"/>
  <c r="I42" i="1" s="1"/>
  <c r="J25" i="1"/>
  <c r="H38" i="1"/>
  <c r="J52" i="1"/>
  <c r="H34" i="1"/>
  <c r="I34" i="1" s="1"/>
  <c r="J34" i="1" s="1"/>
  <c r="J18" i="1"/>
  <c r="I5" i="1"/>
  <c r="J5" i="1" s="1"/>
  <c r="I48" i="1"/>
  <c r="J48" i="1" s="1"/>
  <c r="I44" i="1"/>
  <c r="J44" i="1" s="1"/>
  <c r="J2" i="1"/>
  <c r="B125" i="1"/>
  <c r="G175" i="1"/>
  <c r="H175" i="1"/>
  <c r="I175" i="1"/>
  <c r="J175" i="1"/>
  <c r="B140" i="1"/>
  <c r="C140" i="1"/>
  <c r="D140" i="1" s="1"/>
  <c r="E140" i="1" s="1"/>
  <c r="G180" i="1"/>
  <c r="H180" i="1" s="1"/>
  <c r="I180" i="1" s="1"/>
  <c r="J180" i="1" s="1"/>
  <c r="H170" i="1"/>
  <c r="I170" i="1" s="1"/>
  <c r="J170" i="1" s="1"/>
  <c r="C130" i="1"/>
  <c r="D130" i="1" s="1"/>
  <c r="E130" i="1" s="1"/>
  <c r="B75" i="1"/>
  <c r="C75" i="1" s="1"/>
  <c r="B71" i="1"/>
  <c r="B67" i="1"/>
  <c r="B63" i="1"/>
  <c r="C63" i="1" s="1"/>
  <c r="B91" i="1"/>
  <c r="C67" i="1"/>
  <c r="D67" i="1" s="1"/>
  <c r="B83" i="1"/>
  <c r="C83" i="1" s="1"/>
  <c r="C94" i="1"/>
  <c r="D94" i="1" s="1"/>
  <c r="C86" i="1"/>
  <c r="D86" i="1" s="1"/>
  <c r="E86" i="1" s="1"/>
  <c r="C82" i="1"/>
  <c r="C78" i="1"/>
  <c r="C74" i="1"/>
  <c r="C70" i="1"/>
  <c r="D70" i="1" s="1"/>
  <c r="C66" i="1"/>
  <c r="D66" i="1" s="1"/>
  <c r="C62" i="1"/>
  <c r="D62" i="1" s="1"/>
  <c r="C95" i="1"/>
  <c r="B87" i="1"/>
  <c r="B102" i="1"/>
  <c r="C102" i="1" s="1"/>
  <c r="B98" i="1"/>
  <c r="B94" i="1"/>
  <c r="B90" i="1"/>
  <c r="C79" i="1"/>
  <c r="D73" i="1"/>
  <c r="E73" i="1" s="1"/>
  <c r="D69" i="1"/>
  <c r="E69" i="1" s="1"/>
  <c r="D65" i="1"/>
  <c r="E65" i="1" s="1"/>
  <c r="D61" i="1"/>
  <c r="E61" i="1" s="1"/>
  <c r="C101" i="1"/>
  <c r="C97" i="1"/>
  <c r="D97" i="1" s="1"/>
  <c r="C93" i="1"/>
  <c r="D93" i="1" s="1"/>
  <c r="C89" i="1"/>
  <c r="D89" i="1" s="1"/>
  <c r="C85" i="1"/>
  <c r="D85" i="1" s="1"/>
  <c r="C81" i="1"/>
  <c r="D81" i="1" s="1"/>
  <c r="C77" i="1"/>
  <c r="D77" i="1" s="1"/>
  <c r="C73" i="1"/>
  <c r="C69" i="1"/>
  <c r="C65" i="1"/>
  <c r="C61" i="1"/>
  <c r="C99" i="1"/>
  <c r="D99" i="1" s="1"/>
  <c r="E99" i="1" s="1"/>
  <c r="C100" i="1"/>
  <c r="C96" i="1"/>
  <c r="D96" i="1" s="1"/>
  <c r="C92" i="1"/>
  <c r="D92" i="1" s="1"/>
  <c r="C88" i="1"/>
  <c r="D88" i="1" s="1"/>
  <c r="C84" i="1"/>
  <c r="D84" i="1" s="1"/>
  <c r="C80" i="1"/>
  <c r="C76" i="1"/>
  <c r="D76" i="1" s="1"/>
  <c r="C72" i="1"/>
  <c r="D72" i="1" s="1"/>
  <c r="C68" i="1"/>
  <c r="D68" i="1" s="1"/>
  <c r="C64" i="1"/>
  <c r="D64" i="1" s="1"/>
  <c r="C60" i="1"/>
  <c r="D60" i="1" s="1"/>
  <c r="B59" i="1"/>
  <c r="H115" i="1"/>
  <c r="G106" i="1"/>
  <c r="H107" i="1"/>
  <c r="I107" i="1" s="1"/>
  <c r="J107" i="1" s="1"/>
  <c r="G111" i="1"/>
  <c r="H111" i="1" s="1"/>
  <c r="H110" i="1"/>
  <c r="H122" i="1"/>
  <c r="I122" i="1" s="1"/>
  <c r="J122" i="1" s="1"/>
  <c r="H123" i="1"/>
  <c r="H117" i="1"/>
  <c r="H113" i="1"/>
  <c r="H109" i="1"/>
  <c r="H105" i="1"/>
  <c r="G115" i="1"/>
  <c r="G114" i="1"/>
  <c r="H114" i="1" s="1"/>
  <c r="I114" i="1" s="1"/>
  <c r="J114" i="1" s="1"/>
  <c r="G121" i="1"/>
  <c r="H121" i="1" s="1"/>
  <c r="I121" i="1" s="1"/>
  <c r="G118" i="1"/>
  <c r="G119" i="1"/>
  <c r="H119" i="1"/>
  <c r="H124" i="1"/>
  <c r="I124" i="1" s="1"/>
  <c r="J124" i="1" s="1"/>
  <c r="H120" i="1"/>
  <c r="I120" i="1" s="1"/>
  <c r="J120" i="1" s="1"/>
  <c r="H116" i="1"/>
  <c r="I116" i="1" s="1"/>
  <c r="J116" i="1" s="1"/>
  <c r="H112" i="1"/>
  <c r="I112" i="1" s="1"/>
  <c r="J112" i="1" s="1"/>
  <c r="H108" i="1"/>
  <c r="I108" i="1" s="1"/>
  <c r="J108" i="1" s="1"/>
  <c r="H104" i="1"/>
  <c r="I104" i="1" s="1"/>
  <c r="J104" i="1" s="1"/>
  <c r="G103" i="1"/>
  <c r="I174" i="1"/>
  <c r="J174" i="1" s="1"/>
  <c r="I164" i="1"/>
  <c r="J164" i="1" s="1"/>
  <c r="I173" i="1"/>
  <c r="J173" i="1" s="1"/>
  <c r="I178" i="1"/>
  <c r="J178" i="1" s="1"/>
  <c r="I163" i="1"/>
  <c r="J163" i="1"/>
  <c r="I169" i="1"/>
  <c r="J169" i="1" s="1"/>
  <c r="I179" i="1"/>
  <c r="J179" i="1" s="1"/>
  <c r="I165" i="1"/>
  <c r="J165" i="1" s="1"/>
  <c r="J168" i="1"/>
  <c r="I177" i="1"/>
  <c r="J177" i="1" s="1"/>
  <c r="I172" i="1"/>
  <c r="J172" i="1" s="1"/>
  <c r="I167" i="1"/>
  <c r="J167" i="1" s="1"/>
  <c r="I162" i="1"/>
  <c r="J162" i="1" s="1"/>
  <c r="I176" i="1"/>
  <c r="J176" i="1" s="1"/>
  <c r="I171" i="1"/>
  <c r="J171" i="1" s="1"/>
  <c r="I166" i="1"/>
  <c r="J166" i="1" s="1"/>
  <c r="I161" i="1"/>
  <c r="J161" i="1" s="1"/>
  <c r="H157" i="1"/>
  <c r="I157" i="1" s="1"/>
  <c r="H156" i="1"/>
  <c r="I151" i="1"/>
  <c r="J151" i="1" s="1"/>
  <c r="H143" i="1"/>
  <c r="I143" i="1" s="1"/>
  <c r="J143" i="1" s="1"/>
  <c r="H148" i="1"/>
  <c r="I148" i="1" s="1"/>
  <c r="J148" i="1" s="1"/>
  <c r="H153" i="1"/>
  <c r="J153" i="1" s="1"/>
  <c r="H158" i="1"/>
  <c r="I158" i="1"/>
  <c r="I147" i="1"/>
  <c r="J147" i="1" s="1"/>
  <c r="I153" i="1"/>
  <c r="H152" i="1"/>
  <c r="I152" i="1"/>
  <c r="H144" i="1"/>
  <c r="H149" i="1"/>
  <c r="I149" i="1" s="1"/>
  <c r="H154" i="1"/>
  <c r="I154" i="1" s="1"/>
  <c r="H159" i="1"/>
  <c r="I159" i="1" s="1"/>
  <c r="H146" i="1"/>
  <c r="I146" i="1" s="1"/>
  <c r="J146" i="1" s="1"/>
  <c r="H145" i="1"/>
  <c r="I145" i="1" s="1"/>
  <c r="H150" i="1"/>
  <c r="H155" i="1"/>
  <c r="H160" i="1"/>
  <c r="I150" i="1"/>
  <c r="J150" i="1" s="1"/>
  <c r="I155" i="1"/>
  <c r="I160" i="1"/>
  <c r="J160" i="1" s="1"/>
  <c r="D134" i="1"/>
  <c r="E134" i="1" s="1"/>
  <c r="D129" i="1"/>
  <c r="E129" i="1" s="1"/>
  <c r="D128" i="1"/>
  <c r="E128" i="1" s="1"/>
  <c r="D135" i="1"/>
  <c r="E135" i="1" s="1"/>
  <c r="D139" i="1"/>
  <c r="E139" i="1" s="1"/>
  <c r="D138" i="1"/>
  <c r="E138" i="1" s="1"/>
  <c r="D133" i="1"/>
  <c r="E133" i="1" s="1"/>
  <c r="D142" i="1"/>
  <c r="E142" i="1" s="1"/>
  <c r="D137" i="1"/>
  <c r="E137" i="1" s="1"/>
  <c r="D132" i="1"/>
  <c r="E132" i="1" s="1"/>
  <c r="D127" i="1"/>
  <c r="E127" i="1" s="1"/>
  <c r="D141" i="1"/>
  <c r="E141" i="1" s="1"/>
  <c r="D136" i="1"/>
  <c r="E136" i="1" s="1"/>
  <c r="D131" i="1"/>
  <c r="E131" i="1" s="1"/>
  <c r="D126" i="1"/>
  <c r="E126" i="1" s="1"/>
  <c r="J158" i="1" l="1"/>
  <c r="J50" i="1"/>
  <c r="J58" i="1"/>
  <c r="I54" i="1"/>
  <c r="J54" i="1" s="1"/>
  <c r="D83" i="1"/>
  <c r="E83" i="1" s="1"/>
  <c r="D79" i="1"/>
  <c r="E79" i="1" s="1"/>
  <c r="C90" i="1"/>
  <c r="D90" i="1" s="1"/>
  <c r="E90" i="1" s="1"/>
  <c r="J145" i="1"/>
  <c r="J46" i="1"/>
  <c r="I38" i="1"/>
  <c r="J38" i="1" s="1"/>
  <c r="J42" i="1"/>
  <c r="D101" i="1"/>
  <c r="E101" i="1" s="1"/>
  <c r="J152" i="1"/>
  <c r="D74" i="1"/>
  <c r="E74" i="1" s="1"/>
  <c r="D78" i="1"/>
  <c r="E78" i="1" s="1"/>
  <c r="D82" i="1"/>
  <c r="E82" i="1" s="1"/>
  <c r="I123" i="1"/>
  <c r="J123" i="1" s="1"/>
  <c r="J155" i="1"/>
  <c r="E96" i="1"/>
  <c r="J157" i="1"/>
  <c r="I119" i="1"/>
  <c r="J119" i="1" s="1"/>
  <c r="D100" i="1"/>
  <c r="E100" i="1" s="1"/>
  <c r="I144" i="1"/>
  <c r="J144" i="1" s="1"/>
  <c r="J121" i="1"/>
  <c r="C125" i="1"/>
  <c r="D125" i="1"/>
  <c r="I115" i="1"/>
  <c r="J115" i="1" s="1"/>
  <c r="E97" i="1"/>
  <c r="D63" i="1"/>
  <c r="E63" i="1" s="1"/>
  <c r="C98" i="1"/>
  <c r="E62" i="1"/>
  <c r="D75" i="1"/>
  <c r="E75" i="1" s="1"/>
  <c r="E77" i="1"/>
  <c r="E66" i="1"/>
  <c r="E60" i="1"/>
  <c r="D102" i="1"/>
  <c r="E102" i="1" s="1"/>
  <c r="E81" i="1"/>
  <c r="E70" i="1"/>
  <c r="E68" i="1"/>
  <c r="E76" i="1"/>
  <c r="C71" i="1"/>
  <c r="D71" i="1" s="1"/>
  <c r="E85" i="1"/>
  <c r="E72" i="1"/>
  <c r="E89" i="1"/>
  <c r="E84" i="1"/>
  <c r="E67" i="1"/>
  <c r="E93" i="1"/>
  <c r="E92" i="1"/>
  <c r="E94" i="1"/>
  <c r="E64" i="1"/>
  <c r="C87" i="1"/>
  <c r="D80" i="1"/>
  <c r="E80" i="1" s="1"/>
  <c r="D95" i="1"/>
  <c r="E95" i="1" s="1"/>
  <c r="C91" i="1"/>
  <c r="D91" i="1" s="1"/>
  <c r="E88" i="1"/>
  <c r="C59" i="1"/>
  <c r="I109" i="1"/>
  <c r="J109" i="1" s="1"/>
  <c r="I110" i="1"/>
  <c r="J110" i="1" s="1"/>
  <c r="I105" i="1"/>
  <c r="J105" i="1" s="1"/>
  <c r="H106" i="1"/>
  <c r="I111" i="1"/>
  <c r="J111" i="1" s="1"/>
  <c r="H118" i="1"/>
  <c r="I117" i="1"/>
  <c r="J117" i="1" s="1"/>
  <c r="I113" i="1"/>
  <c r="J113" i="1" s="1"/>
  <c r="H103" i="1"/>
  <c r="I156" i="1"/>
  <c r="J156" i="1" s="1"/>
  <c r="J159" i="1"/>
  <c r="J154" i="1"/>
  <c r="J149" i="1"/>
  <c r="E125" i="1" l="1"/>
  <c r="E71" i="1"/>
  <c r="D98" i="1"/>
  <c r="E98" i="1" s="1"/>
  <c r="D87" i="1"/>
  <c r="E87" i="1" s="1"/>
  <c r="E91" i="1"/>
  <c r="D59" i="1"/>
  <c r="E59" i="1" s="1"/>
  <c r="I106" i="1"/>
  <c r="J106" i="1" s="1"/>
  <c r="I118" i="1"/>
  <c r="J118" i="1" s="1"/>
  <c r="I103" i="1"/>
  <c r="J103" i="1" s="1"/>
</calcChain>
</file>

<file path=xl/sharedStrings.xml><?xml version="1.0" encoding="utf-8"?>
<sst xmlns="http://schemas.openxmlformats.org/spreadsheetml/2006/main" count="415" uniqueCount="19">
  <si>
    <t>Onset</t>
  </si>
  <si>
    <t>Offset</t>
  </si>
  <si>
    <t>Duration</t>
  </si>
  <si>
    <t>Alignment</t>
  </si>
  <si>
    <t>OnsetHr</t>
  </si>
  <si>
    <t>OnsetMin</t>
  </si>
  <si>
    <t>OnsetSec</t>
  </si>
  <si>
    <t>OnsetMilisec</t>
  </si>
  <si>
    <t>OffsetHr</t>
  </si>
  <si>
    <t>OffsetMin</t>
  </si>
  <si>
    <t>OffsetSec</t>
  </si>
  <si>
    <t>OffsetMilisec</t>
  </si>
  <si>
    <t>OnsetSecTotal</t>
  </si>
  <si>
    <t>OffsetSecTotal</t>
  </si>
  <si>
    <t>NoiseType</t>
  </si>
  <si>
    <t>N</t>
  </si>
  <si>
    <t>PostNoise</t>
  </si>
  <si>
    <t>DuringNoise</t>
  </si>
  <si>
    <t>DuringNoiseEnd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</si>
</sst>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FC17-269C-448C-ABFE-C3A2F420765C}">
  <dimension ref="A1:M202"/>
  <sheetViews>
    <sheetView tabSelected="1" topLeftCell="A109" zoomScale="55" zoomScaleNormal="55" workbookViewId="0">
      <selection activeCell="M177" sqref="M177"/>
    </sheetView>
  </sheetViews>
  <sheetFormatPr defaultRowHeight="15" x14ac:dyDescent="0.25"/>
  <cols>
    <col min="13" max="13" width="29.5703125" customWidth="1"/>
  </cols>
  <sheetData>
    <row r="1" spans="1:13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2</v>
      </c>
      <c r="M1" t="s">
        <v>14</v>
      </c>
    </row>
    <row r="2" spans="1:13" x14ac:dyDescent="0.25">
      <c r="A2" t="s">
        <v>0</v>
      </c>
      <c r="B2">
        <v>0</v>
      </c>
      <c r="C2">
        <v>50</v>
      </c>
      <c r="D2">
        <v>56</v>
      </c>
      <c r="E2">
        <v>214</v>
      </c>
      <c r="F2">
        <f t="shared" ref="F2:F33" si="0">B2*60*60 +C2*60 + D2 + E2*0.001</f>
        <v>3056.2139999999999</v>
      </c>
      <c r="G2">
        <f t="shared" ref="G2:G33" si="1">_xlfn.FLOOR.MATH(K2/3600)</f>
        <v>0</v>
      </c>
      <c r="H2">
        <f t="shared" ref="H2:H33" si="2">_xlfn.FLOOR.MATH((K2-3600*G2)/60)</f>
        <v>51</v>
      </c>
      <c r="I2">
        <f t="shared" ref="I2:I33" si="3">_xlfn.FLOOR.MATH(K2 - 3600*G2 - 60*H2)</f>
        <v>3</v>
      </c>
      <c r="J2">
        <f t="shared" ref="J2:J33" si="4">(K2-3600*G2 - 60*H2 -I2)*1000</f>
        <v>213.99999999994179</v>
      </c>
      <c r="K2">
        <f t="shared" ref="K2:K33" si="5">F2+L2</f>
        <v>3063.2139999999999</v>
      </c>
      <c r="L2">
        <v>7</v>
      </c>
      <c r="M2" t="s">
        <v>15</v>
      </c>
    </row>
    <row r="3" spans="1:13" x14ac:dyDescent="0.25">
      <c r="A3" t="s">
        <v>0</v>
      </c>
      <c r="B3">
        <v>0</v>
      </c>
      <c r="C3">
        <v>51</v>
      </c>
      <c r="D3">
        <v>37</v>
      </c>
      <c r="E3">
        <v>471</v>
      </c>
      <c r="F3">
        <f t="shared" si="0"/>
        <v>3097.471</v>
      </c>
      <c r="G3">
        <f t="shared" si="1"/>
        <v>0</v>
      </c>
      <c r="H3">
        <f t="shared" si="2"/>
        <v>51</v>
      </c>
      <c r="I3">
        <f t="shared" si="3"/>
        <v>44</v>
      </c>
      <c r="J3">
        <f t="shared" si="4"/>
        <v>471.00000000000364</v>
      </c>
      <c r="K3">
        <f t="shared" si="5"/>
        <v>3104.471</v>
      </c>
      <c r="L3">
        <v>7</v>
      </c>
      <c r="M3" t="s">
        <v>15</v>
      </c>
    </row>
    <row r="4" spans="1:13" x14ac:dyDescent="0.25">
      <c r="A4" t="s">
        <v>0</v>
      </c>
      <c r="B4">
        <v>0</v>
      </c>
      <c r="C4">
        <v>51</v>
      </c>
      <c r="D4">
        <v>50</v>
      </c>
      <c r="E4">
        <v>760</v>
      </c>
      <c r="F4">
        <f t="shared" si="0"/>
        <v>3110.76</v>
      </c>
      <c r="G4">
        <f t="shared" si="1"/>
        <v>0</v>
      </c>
      <c r="H4">
        <f t="shared" si="2"/>
        <v>51</v>
      </c>
      <c r="I4">
        <f t="shared" si="3"/>
        <v>57</v>
      </c>
      <c r="J4">
        <f t="shared" si="4"/>
        <v>760.00000000021828</v>
      </c>
      <c r="K4">
        <f t="shared" si="5"/>
        <v>3117.76</v>
      </c>
      <c r="L4">
        <v>7</v>
      </c>
      <c r="M4" t="s">
        <v>15</v>
      </c>
    </row>
    <row r="5" spans="1:13" x14ac:dyDescent="0.25">
      <c r="A5" t="s">
        <v>0</v>
      </c>
      <c r="B5">
        <v>0</v>
      </c>
      <c r="C5">
        <v>52</v>
      </c>
      <c r="D5">
        <v>5</v>
      </c>
      <c r="E5">
        <v>690</v>
      </c>
      <c r="F5">
        <f t="shared" si="0"/>
        <v>3125.69</v>
      </c>
      <c r="G5">
        <f t="shared" si="1"/>
        <v>0</v>
      </c>
      <c r="H5">
        <f t="shared" si="2"/>
        <v>52</v>
      </c>
      <c r="I5">
        <f t="shared" si="3"/>
        <v>12</v>
      </c>
      <c r="J5">
        <f t="shared" si="4"/>
        <v>690.00000000005457</v>
      </c>
      <c r="K5">
        <f t="shared" si="5"/>
        <v>3132.69</v>
      </c>
      <c r="L5">
        <v>7</v>
      </c>
      <c r="M5" t="s">
        <v>15</v>
      </c>
    </row>
    <row r="6" spans="1:13" x14ac:dyDescent="0.25">
      <c r="A6" t="s">
        <v>0</v>
      </c>
      <c r="B6">
        <v>0</v>
      </c>
      <c r="C6">
        <v>52</v>
      </c>
      <c r="D6">
        <v>41</v>
      </c>
      <c r="E6">
        <v>90</v>
      </c>
      <c r="F6">
        <f t="shared" si="0"/>
        <v>3161.09</v>
      </c>
      <c r="G6">
        <f t="shared" si="1"/>
        <v>0</v>
      </c>
      <c r="H6">
        <f t="shared" si="2"/>
        <v>52</v>
      </c>
      <c r="I6">
        <f t="shared" si="3"/>
        <v>48</v>
      </c>
      <c r="J6">
        <f t="shared" si="4"/>
        <v>90.000000000145519</v>
      </c>
      <c r="K6">
        <f t="shared" si="5"/>
        <v>3168.09</v>
      </c>
      <c r="L6">
        <v>7</v>
      </c>
      <c r="M6" t="s">
        <v>15</v>
      </c>
    </row>
    <row r="7" spans="1:13" x14ac:dyDescent="0.25">
      <c r="A7" t="s">
        <v>0</v>
      </c>
      <c r="B7">
        <v>0</v>
      </c>
      <c r="C7">
        <v>52</v>
      </c>
      <c r="D7">
        <v>54</v>
      </c>
      <c r="E7">
        <v>349</v>
      </c>
      <c r="F7">
        <f t="shared" si="0"/>
        <v>3174.3490000000002</v>
      </c>
      <c r="G7">
        <f t="shared" si="1"/>
        <v>0</v>
      </c>
      <c r="H7">
        <f t="shared" si="2"/>
        <v>53</v>
      </c>
      <c r="I7">
        <f t="shared" si="3"/>
        <v>1</v>
      </c>
      <c r="J7">
        <f t="shared" si="4"/>
        <v>349.00000000016007</v>
      </c>
      <c r="K7">
        <f t="shared" si="5"/>
        <v>3181.3490000000002</v>
      </c>
      <c r="L7">
        <v>7</v>
      </c>
      <c r="M7" t="s">
        <v>15</v>
      </c>
    </row>
    <row r="8" spans="1:13" x14ac:dyDescent="0.25">
      <c r="A8" t="s">
        <v>0</v>
      </c>
      <c r="B8">
        <v>0</v>
      </c>
      <c r="C8">
        <v>53</v>
      </c>
      <c r="D8">
        <v>10</v>
      </c>
      <c r="E8">
        <v>26</v>
      </c>
      <c r="F8">
        <f t="shared" si="0"/>
        <v>3190.0259999999998</v>
      </c>
      <c r="G8">
        <f t="shared" si="1"/>
        <v>0</v>
      </c>
      <c r="H8">
        <f t="shared" si="2"/>
        <v>53</v>
      </c>
      <c r="I8">
        <f t="shared" si="3"/>
        <v>17</v>
      </c>
      <c r="J8">
        <f t="shared" si="4"/>
        <v>25.999999999839929</v>
      </c>
      <c r="K8">
        <f t="shared" si="5"/>
        <v>3197.0259999999998</v>
      </c>
      <c r="L8">
        <v>7</v>
      </c>
      <c r="M8" t="s">
        <v>15</v>
      </c>
    </row>
    <row r="9" spans="1:13" x14ac:dyDescent="0.25">
      <c r="A9" t="s">
        <v>0</v>
      </c>
      <c r="B9">
        <v>0</v>
      </c>
      <c r="C9">
        <v>53</v>
      </c>
      <c r="D9">
        <v>29</v>
      </c>
      <c r="E9">
        <v>286</v>
      </c>
      <c r="F9">
        <f t="shared" si="0"/>
        <v>3209.2860000000001</v>
      </c>
      <c r="G9">
        <f t="shared" si="1"/>
        <v>0</v>
      </c>
      <c r="H9">
        <f t="shared" si="2"/>
        <v>53</v>
      </c>
      <c r="I9">
        <f t="shared" si="3"/>
        <v>36</v>
      </c>
      <c r="J9">
        <f t="shared" si="4"/>
        <v>286.00000000005821</v>
      </c>
      <c r="K9">
        <f t="shared" si="5"/>
        <v>3216.2860000000001</v>
      </c>
      <c r="L9">
        <v>7</v>
      </c>
      <c r="M9" t="s">
        <v>15</v>
      </c>
    </row>
    <row r="10" spans="1:13" x14ac:dyDescent="0.25">
      <c r="A10" t="s">
        <v>0</v>
      </c>
      <c r="B10">
        <v>0</v>
      </c>
      <c r="C10">
        <v>53</v>
      </c>
      <c r="D10">
        <v>43</v>
      </c>
      <c r="E10">
        <v>547</v>
      </c>
      <c r="F10">
        <f t="shared" si="0"/>
        <v>3223.547</v>
      </c>
      <c r="G10">
        <f t="shared" si="1"/>
        <v>0</v>
      </c>
      <c r="H10">
        <f t="shared" si="2"/>
        <v>53</v>
      </c>
      <c r="I10">
        <f t="shared" si="3"/>
        <v>50</v>
      </c>
      <c r="J10">
        <f t="shared" si="4"/>
        <v>547.00000000002547</v>
      </c>
      <c r="K10">
        <f t="shared" si="5"/>
        <v>3230.547</v>
      </c>
      <c r="L10">
        <v>7</v>
      </c>
      <c r="M10" t="s">
        <v>15</v>
      </c>
    </row>
    <row r="11" spans="1:13" x14ac:dyDescent="0.25">
      <c r="A11" t="s">
        <v>0</v>
      </c>
      <c r="B11">
        <v>0</v>
      </c>
      <c r="C11">
        <v>53</v>
      </c>
      <c r="D11">
        <v>59</v>
      </c>
      <c r="E11">
        <v>596</v>
      </c>
      <c r="F11">
        <f t="shared" si="0"/>
        <v>3239.596</v>
      </c>
      <c r="G11">
        <f t="shared" si="1"/>
        <v>0</v>
      </c>
      <c r="H11">
        <f t="shared" si="2"/>
        <v>54</v>
      </c>
      <c r="I11">
        <f t="shared" si="3"/>
        <v>6</v>
      </c>
      <c r="J11">
        <f t="shared" si="4"/>
        <v>596.00000000000364</v>
      </c>
      <c r="K11">
        <f t="shared" si="5"/>
        <v>3246.596</v>
      </c>
      <c r="L11">
        <v>7</v>
      </c>
      <c r="M11" t="s">
        <v>15</v>
      </c>
    </row>
    <row r="12" spans="1:13" x14ac:dyDescent="0.25">
      <c r="A12" t="s">
        <v>0</v>
      </c>
      <c r="B12">
        <v>0</v>
      </c>
      <c r="C12">
        <v>54</v>
      </c>
      <c r="D12">
        <v>13</v>
      </c>
      <c r="E12">
        <v>123</v>
      </c>
      <c r="F12">
        <f t="shared" si="0"/>
        <v>3253.123</v>
      </c>
      <c r="G12">
        <f t="shared" si="1"/>
        <v>0</v>
      </c>
      <c r="H12">
        <f t="shared" si="2"/>
        <v>54</v>
      </c>
      <c r="I12">
        <f t="shared" si="3"/>
        <v>20</v>
      </c>
      <c r="J12">
        <f t="shared" si="4"/>
        <v>123.00000000004729</v>
      </c>
      <c r="K12">
        <f t="shared" si="5"/>
        <v>3260.123</v>
      </c>
      <c r="L12">
        <v>7</v>
      </c>
      <c r="M12" t="s">
        <v>15</v>
      </c>
    </row>
    <row r="13" spans="1:13" x14ac:dyDescent="0.25">
      <c r="A13" t="s">
        <v>0</v>
      </c>
      <c r="B13">
        <v>0</v>
      </c>
      <c r="C13">
        <v>54</v>
      </c>
      <c r="D13">
        <v>28</v>
      </c>
      <c r="E13">
        <v>369</v>
      </c>
      <c r="F13">
        <f t="shared" si="0"/>
        <v>3268.3690000000001</v>
      </c>
      <c r="G13">
        <f t="shared" si="1"/>
        <v>0</v>
      </c>
      <c r="H13">
        <f t="shared" si="2"/>
        <v>54</v>
      </c>
      <c r="I13">
        <f t="shared" si="3"/>
        <v>35</v>
      </c>
      <c r="J13">
        <f t="shared" si="4"/>
        <v>369.00000000014188</v>
      </c>
      <c r="K13">
        <f t="shared" si="5"/>
        <v>3275.3690000000001</v>
      </c>
      <c r="L13">
        <v>7</v>
      </c>
      <c r="M13" t="s">
        <v>15</v>
      </c>
    </row>
    <row r="14" spans="1:13" x14ac:dyDescent="0.25">
      <c r="A14" t="s">
        <v>0</v>
      </c>
      <c r="B14">
        <v>0</v>
      </c>
      <c r="C14">
        <v>54</v>
      </c>
      <c r="D14">
        <v>43</v>
      </c>
      <c r="E14">
        <v>904</v>
      </c>
      <c r="F14">
        <f t="shared" si="0"/>
        <v>3283.904</v>
      </c>
      <c r="G14">
        <f t="shared" si="1"/>
        <v>0</v>
      </c>
      <c r="H14">
        <f t="shared" si="2"/>
        <v>54</v>
      </c>
      <c r="I14">
        <f t="shared" si="3"/>
        <v>50</v>
      </c>
      <c r="J14">
        <f t="shared" si="4"/>
        <v>903.99999999999636</v>
      </c>
      <c r="K14">
        <f t="shared" si="5"/>
        <v>3290.904</v>
      </c>
      <c r="L14">
        <v>7</v>
      </c>
      <c r="M14" t="s">
        <v>15</v>
      </c>
    </row>
    <row r="15" spans="1:13" x14ac:dyDescent="0.25">
      <c r="A15" t="s">
        <v>0</v>
      </c>
      <c r="B15">
        <v>0</v>
      </c>
      <c r="C15">
        <v>54</v>
      </c>
      <c r="D15">
        <v>58</v>
      </c>
      <c r="E15">
        <v>997</v>
      </c>
      <c r="F15">
        <f t="shared" si="0"/>
        <v>3298.9969999999998</v>
      </c>
      <c r="G15">
        <f t="shared" si="1"/>
        <v>0</v>
      </c>
      <c r="H15">
        <f t="shared" si="2"/>
        <v>55</v>
      </c>
      <c r="I15">
        <f t="shared" si="3"/>
        <v>5</v>
      </c>
      <c r="J15">
        <f t="shared" si="4"/>
        <v>996.99999999984357</v>
      </c>
      <c r="K15">
        <f t="shared" si="5"/>
        <v>3305.9969999999998</v>
      </c>
      <c r="L15">
        <v>7</v>
      </c>
      <c r="M15" t="s">
        <v>15</v>
      </c>
    </row>
    <row r="16" spans="1:13" x14ac:dyDescent="0.25">
      <c r="A16" t="s">
        <v>0</v>
      </c>
      <c r="B16">
        <v>0</v>
      </c>
      <c r="C16">
        <v>55</v>
      </c>
      <c r="D16">
        <v>14</v>
      </c>
      <c r="E16">
        <v>709</v>
      </c>
      <c r="F16">
        <f t="shared" si="0"/>
        <v>3314.7089999999998</v>
      </c>
      <c r="G16">
        <f t="shared" si="1"/>
        <v>0</v>
      </c>
      <c r="H16">
        <f t="shared" si="2"/>
        <v>55</v>
      </c>
      <c r="I16">
        <f t="shared" si="3"/>
        <v>21</v>
      </c>
      <c r="J16">
        <f t="shared" si="4"/>
        <v>708.99999999983265</v>
      </c>
      <c r="K16">
        <f t="shared" si="5"/>
        <v>3321.7089999999998</v>
      </c>
      <c r="L16">
        <v>7</v>
      </c>
      <c r="M16" t="s">
        <v>15</v>
      </c>
    </row>
    <row r="17" spans="1:13" x14ac:dyDescent="0.25">
      <c r="A17" t="s">
        <v>0</v>
      </c>
      <c r="B17">
        <v>0</v>
      </c>
      <c r="C17">
        <v>55</v>
      </c>
      <c r="D17">
        <v>29</v>
      </c>
      <c r="E17">
        <v>615</v>
      </c>
      <c r="F17">
        <f t="shared" si="0"/>
        <v>3329.6149999999998</v>
      </c>
      <c r="G17">
        <f t="shared" si="1"/>
        <v>0</v>
      </c>
      <c r="H17">
        <f t="shared" si="2"/>
        <v>55</v>
      </c>
      <c r="I17">
        <f t="shared" si="3"/>
        <v>36</v>
      </c>
      <c r="J17">
        <f t="shared" si="4"/>
        <v>614.99999999978172</v>
      </c>
      <c r="K17">
        <f t="shared" si="5"/>
        <v>3336.6149999999998</v>
      </c>
      <c r="L17">
        <v>7</v>
      </c>
      <c r="M17" t="s">
        <v>15</v>
      </c>
    </row>
    <row r="18" spans="1:13" x14ac:dyDescent="0.25">
      <c r="A18" t="s">
        <v>0</v>
      </c>
      <c r="B18">
        <v>0</v>
      </c>
      <c r="C18">
        <v>55</v>
      </c>
      <c r="D18">
        <v>43</v>
      </c>
      <c r="E18">
        <v>505</v>
      </c>
      <c r="F18">
        <f t="shared" si="0"/>
        <v>3343.5050000000001</v>
      </c>
      <c r="G18">
        <f t="shared" si="1"/>
        <v>0</v>
      </c>
      <c r="H18">
        <f t="shared" si="2"/>
        <v>55</v>
      </c>
      <c r="I18">
        <f t="shared" si="3"/>
        <v>50</v>
      </c>
      <c r="J18">
        <f t="shared" si="4"/>
        <v>505.00000000010914</v>
      </c>
      <c r="K18">
        <f t="shared" si="5"/>
        <v>3350.5050000000001</v>
      </c>
      <c r="L18">
        <v>7</v>
      </c>
      <c r="M18" t="s">
        <v>15</v>
      </c>
    </row>
    <row r="19" spans="1:13" x14ac:dyDescent="0.25">
      <c r="A19" t="s">
        <v>0</v>
      </c>
      <c r="B19">
        <v>0</v>
      </c>
      <c r="C19">
        <v>56</v>
      </c>
      <c r="D19">
        <v>13</v>
      </c>
      <c r="E19">
        <v>133</v>
      </c>
      <c r="F19">
        <f t="shared" si="0"/>
        <v>3373.1329999999998</v>
      </c>
      <c r="G19">
        <f t="shared" si="1"/>
        <v>0</v>
      </c>
      <c r="H19">
        <f t="shared" si="2"/>
        <v>56</v>
      </c>
      <c r="I19">
        <f t="shared" si="3"/>
        <v>20</v>
      </c>
      <c r="J19">
        <f t="shared" si="4"/>
        <v>132.99999999981083</v>
      </c>
      <c r="K19">
        <f t="shared" si="5"/>
        <v>3380.1329999999998</v>
      </c>
      <c r="L19">
        <v>7</v>
      </c>
      <c r="M19" t="s">
        <v>15</v>
      </c>
    </row>
    <row r="20" spans="1:13" x14ac:dyDescent="0.25">
      <c r="A20" t="s">
        <v>0</v>
      </c>
      <c r="B20">
        <v>0</v>
      </c>
      <c r="C20">
        <v>56</v>
      </c>
      <c r="D20">
        <v>30</v>
      </c>
      <c r="E20">
        <v>970</v>
      </c>
      <c r="F20">
        <f t="shared" si="0"/>
        <v>3390.97</v>
      </c>
      <c r="G20">
        <f t="shared" si="1"/>
        <v>0</v>
      </c>
      <c r="H20">
        <f t="shared" si="2"/>
        <v>56</v>
      </c>
      <c r="I20">
        <f t="shared" si="3"/>
        <v>37</v>
      </c>
      <c r="J20">
        <f t="shared" si="4"/>
        <v>969.99999999979991</v>
      </c>
      <c r="K20">
        <f t="shared" si="5"/>
        <v>3397.97</v>
      </c>
      <c r="L20">
        <v>7</v>
      </c>
      <c r="M20" t="s">
        <v>15</v>
      </c>
    </row>
    <row r="21" spans="1:13" x14ac:dyDescent="0.25">
      <c r="A21" t="s">
        <v>0</v>
      </c>
      <c r="B21">
        <v>0</v>
      </c>
      <c r="C21">
        <v>56</v>
      </c>
      <c r="D21">
        <v>47</v>
      </c>
      <c r="E21">
        <v>860</v>
      </c>
      <c r="F21">
        <f t="shared" si="0"/>
        <v>3407.86</v>
      </c>
      <c r="G21">
        <f t="shared" si="1"/>
        <v>0</v>
      </c>
      <c r="H21">
        <f t="shared" si="2"/>
        <v>56</v>
      </c>
      <c r="I21">
        <f t="shared" si="3"/>
        <v>54</v>
      </c>
      <c r="J21">
        <f t="shared" si="4"/>
        <v>860.00000000012733</v>
      </c>
      <c r="K21">
        <f t="shared" si="5"/>
        <v>3414.86</v>
      </c>
      <c r="L21">
        <v>7</v>
      </c>
      <c r="M21" t="s">
        <v>15</v>
      </c>
    </row>
    <row r="22" spans="1:13" x14ac:dyDescent="0.25">
      <c r="A22" t="s">
        <v>0</v>
      </c>
      <c r="B22">
        <v>0</v>
      </c>
      <c r="C22">
        <v>57</v>
      </c>
      <c r="D22">
        <v>3</v>
      </c>
      <c r="E22">
        <v>482</v>
      </c>
      <c r="F22">
        <f t="shared" si="0"/>
        <v>3423.482</v>
      </c>
      <c r="G22">
        <f t="shared" si="1"/>
        <v>0</v>
      </c>
      <c r="H22">
        <f t="shared" si="2"/>
        <v>57</v>
      </c>
      <c r="I22">
        <f t="shared" si="3"/>
        <v>10</v>
      </c>
      <c r="J22">
        <f t="shared" si="4"/>
        <v>481.9999999999709</v>
      </c>
      <c r="K22">
        <f t="shared" si="5"/>
        <v>3430.482</v>
      </c>
      <c r="L22">
        <v>7</v>
      </c>
      <c r="M22" t="s">
        <v>15</v>
      </c>
    </row>
    <row r="23" spans="1:13" x14ac:dyDescent="0.25">
      <c r="A23" t="s">
        <v>0</v>
      </c>
      <c r="B23">
        <v>0</v>
      </c>
      <c r="C23">
        <v>57</v>
      </c>
      <c r="D23">
        <v>19</v>
      </c>
      <c r="E23">
        <v>682</v>
      </c>
      <c r="F23">
        <f t="shared" si="0"/>
        <v>3439.6819999999998</v>
      </c>
      <c r="G23">
        <f t="shared" si="1"/>
        <v>0</v>
      </c>
      <c r="H23">
        <f t="shared" si="2"/>
        <v>57</v>
      </c>
      <c r="I23">
        <f t="shared" si="3"/>
        <v>26</v>
      </c>
      <c r="J23">
        <f t="shared" si="4"/>
        <v>681.999999999789</v>
      </c>
      <c r="K23">
        <f t="shared" si="5"/>
        <v>3446.6819999999998</v>
      </c>
      <c r="L23">
        <v>7</v>
      </c>
      <c r="M23" t="s">
        <v>15</v>
      </c>
    </row>
    <row r="24" spans="1:13" x14ac:dyDescent="0.25">
      <c r="A24" t="s">
        <v>0</v>
      </c>
      <c r="B24">
        <v>0</v>
      </c>
      <c r="C24">
        <v>57</v>
      </c>
      <c r="D24">
        <v>35</v>
      </c>
      <c r="E24">
        <v>705</v>
      </c>
      <c r="F24">
        <f t="shared" si="0"/>
        <v>3455.7049999999999</v>
      </c>
      <c r="G24">
        <f t="shared" si="1"/>
        <v>0</v>
      </c>
      <c r="H24">
        <f t="shared" si="2"/>
        <v>57</v>
      </c>
      <c r="I24">
        <f t="shared" si="3"/>
        <v>42</v>
      </c>
      <c r="J24">
        <f t="shared" si="4"/>
        <v>704.99999999992724</v>
      </c>
      <c r="K24">
        <f t="shared" si="5"/>
        <v>3462.7049999999999</v>
      </c>
      <c r="L24">
        <v>7</v>
      </c>
      <c r="M24" t="s">
        <v>15</v>
      </c>
    </row>
    <row r="25" spans="1:13" x14ac:dyDescent="0.25">
      <c r="A25" t="s">
        <v>0</v>
      </c>
      <c r="B25">
        <v>0</v>
      </c>
      <c r="C25">
        <v>57</v>
      </c>
      <c r="D25">
        <v>52</v>
      </c>
      <c r="E25">
        <v>448</v>
      </c>
      <c r="F25">
        <f t="shared" si="0"/>
        <v>3472.4479999999999</v>
      </c>
      <c r="G25">
        <f t="shared" si="1"/>
        <v>0</v>
      </c>
      <c r="H25">
        <f t="shared" si="2"/>
        <v>57</v>
      </c>
      <c r="I25">
        <f t="shared" si="3"/>
        <v>59</v>
      </c>
      <c r="J25">
        <f t="shared" si="4"/>
        <v>447.99999999986539</v>
      </c>
      <c r="K25">
        <f t="shared" si="5"/>
        <v>3479.4479999999999</v>
      </c>
      <c r="L25">
        <v>7</v>
      </c>
      <c r="M25" t="s">
        <v>15</v>
      </c>
    </row>
    <row r="26" spans="1:13" x14ac:dyDescent="0.25">
      <c r="A26" t="s">
        <v>0</v>
      </c>
      <c r="B26">
        <v>0</v>
      </c>
      <c r="C26">
        <v>58</v>
      </c>
      <c r="D26">
        <v>7</v>
      </c>
      <c r="E26">
        <v>177</v>
      </c>
      <c r="F26">
        <f t="shared" si="0"/>
        <v>3487.1770000000001</v>
      </c>
      <c r="G26">
        <f t="shared" si="1"/>
        <v>0</v>
      </c>
      <c r="H26">
        <f t="shared" si="2"/>
        <v>58</v>
      </c>
      <c r="I26">
        <f t="shared" si="3"/>
        <v>14</v>
      </c>
      <c r="J26">
        <f t="shared" si="4"/>
        <v>177.00000000013461</v>
      </c>
      <c r="K26">
        <f t="shared" si="5"/>
        <v>3494.1770000000001</v>
      </c>
      <c r="L26">
        <v>7</v>
      </c>
      <c r="M26" t="s">
        <v>15</v>
      </c>
    </row>
    <row r="27" spans="1:13" x14ac:dyDescent="0.25">
      <c r="A27" t="s">
        <v>0</v>
      </c>
      <c r="B27">
        <v>0</v>
      </c>
      <c r="C27">
        <v>58</v>
      </c>
      <c r="D27">
        <v>21</v>
      </c>
      <c r="E27">
        <v>127</v>
      </c>
      <c r="F27">
        <f t="shared" si="0"/>
        <v>3501.127</v>
      </c>
      <c r="G27">
        <f t="shared" si="1"/>
        <v>0</v>
      </c>
      <c r="H27">
        <f t="shared" si="2"/>
        <v>58</v>
      </c>
      <c r="I27">
        <f t="shared" si="3"/>
        <v>28</v>
      </c>
      <c r="J27">
        <f t="shared" si="4"/>
        <v>126.99999999995271</v>
      </c>
      <c r="K27">
        <f t="shared" si="5"/>
        <v>3508.127</v>
      </c>
      <c r="L27">
        <v>7</v>
      </c>
      <c r="M27" t="s">
        <v>15</v>
      </c>
    </row>
    <row r="28" spans="1:13" x14ac:dyDescent="0.25">
      <c r="A28" t="s">
        <v>0</v>
      </c>
      <c r="B28">
        <v>0</v>
      </c>
      <c r="C28">
        <v>58</v>
      </c>
      <c r="D28">
        <v>36</v>
      </c>
      <c r="E28">
        <v>369</v>
      </c>
      <c r="F28">
        <f t="shared" si="0"/>
        <v>3516.3690000000001</v>
      </c>
      <c r="G28">
        <f t="shared" si="1"/>
        <v>0</v>
      </c>
      <c r="H28">
        <f t="shared" si="2"/>
        <v>58</v>
      </c>
      <c r="I28">
        <f t="shared" si="3"/>
        <v>43</v>
      </c>
      <c r="J28">
        <f t="shared" si="4"/>
        <v>369.00000000014188</v>
      </c>
      <c r="K28">
        <f t="shared" si="5"/>
        <v>3523.3690000000001</v>
      </c>
      <c r="L28">
        <v>7</v>
      </c>
      <c r="M28" t="s">
        <v>15</v>
      </c>
    </row>
    <row r="29" spans="1:13" x14ac:dyDescent="0.25">
      <c r="A29" t="s">
        <v>0</v>
      </c>
      <c r="B29">
        <v>0</v>
      </c>
      <c r="C29">
        <v>58</v>
      </c>
      <c r="D29">
        <v>49</v>
      </c>
      <c r="E29">
        <v>821</v>
      </c>
      <c r="F29">
        <f t="shared" si="0"/>
        <v>3529.8209999999999</v>
      </c>
      <c r="G29">
        <f t="shared" si="1"/>
        <v>0</v>
      </c>
      <c r="H29">
        <f t="shared" si="2"/>
        <v>58</v>
      </c>
      <c r="I29">
        <f t="shared" si="3"/>
        <v>56</v>
      </c>
      <c r="J29">
        <f t="shared" si="4"/>
        <v>820.99999999991269</v>
      </c>
      <c r="K29">
        <f t="shared" si="5"/>
        <v>3536.8209999999999</v>
      </c>
      <c r="L29">
        <v>7</v>
      </c>
      <c r="M29" t="s">
        <v>15</v>
      </c>
    </row>
    <row r="30" spans="1:13" x14ac:dyDescent="0.25">
      <c r="A30" t="s">
        <v>0</v>
      </c>
      <c r="B30">
        <v>0</v>
      </c>
      <c r="C30">
        <v>59</v>
      </c>
      <c r="D30">
        <v>5</v>
      </c>
      <c r="E30">
        <v>786</v>
      </c>
      <c r="F30">
        <f t="shared" si="0"/>
        <v>3545.7860000000001</v>
      </c>
      <c r="G30">
        <f t="shared" si="1"/>
        <v>0</v>
      </c>
      <c r="H30">
        <f t="shared" si="2"/>
        <v>59</v>
      </c>
      <c r="I30">
        <f t="shared" si="3"/>
        <v>12</v>
      </c>
      <c r="J30">
        <f t="shared" si="4"/>
        <v>786.00000000005821</v>
      </c>
      <c r="K30">
        <f t="shared" si="5"/>
        <v>3552.7860000000001</v>
      </c>
      <c r="L30">
        <v>7</v>
      </c>
      <c r="M30" t="s">
        <v>15</v>
      </c>
    </row>
    <row r="31" spans="1:13" x14ac:dyDescent="0.25">
      <c r="A31" t="s">
        <v>0</v>
      </c>
      <c r="B31">
        <v>0</v>
      </c>
      <c r="C31">
        <v>59</v>
      </c>
      <c r="D31">
        <v>22</v>
      </c>
      <c r="E31">
        <v>753</v>
      </c>
      <c r="F31">
        <f t="shared" si="0"/>
        <v>3562.7530000000002</v>
      </c>
      <c r="G31">
        <f t="shared" si="1"/>
        <v>0</v>
      </c>
      <c r="H31">
        <f t="shared" si="2"/>
        <v>59</v>
      </c>
      <c r="I31">
        <f t="shared" si="3"/>
        <v>29</v>
      </c>
      <c r="J31">
        <f t="shared" si="4"/>
        <v>753.00000000015643</v>
      </c>
      <c r="K31">
        <f t="shared" si="5"/>
        <v>3569.7530000000002</v>
      </c>
      <c r="L31">
        <v>7</v>
      </c>
      <c r="M31" t="s">
        <v>15</v>
      </c>
    </row>
    <row r="32" spans="1:13" x14ac:dyDescent="0.25">
      <c r="A32" t="s">
        <v>0</v>
      </c>
      <c r="B32">
        <v>0</v>
      </c>
      <c r="C32">
        <v>59</v>
      </c>
      <c r="D32">
        <v>38</v>
      </c>
      <c r="E32">
        <v>219</v>
      </c>
      <c r="F32">
        <f t="shared" si="0"/>
        <v>3578.2190000000001</v>
      </c>
      <c r="G32">
        <f t="shared" si="1"/>
        <v>0</v>
      </c>
      <c r="H32">
        <f t="shared" si="2"/>
        <v>59</v>
      </c>
      <c r="I32">
        <f t="shared" si="3"/>
        <v>45</v>
      </c>
      <c r="J32">
        <f t="shared" si="4"/>
        <v>219.00000000005093</v>
      </c>
      <c r="K32">
        <f t="shared" si="5"/>
        <v>3585.2190000000001</v>
      </c>
      <c r="L32">
        <v>7</v>
      </c>
      <c r="M32" t="s">
        <v>15</v>
      </c>
    </row>
    <row r="33" spans="1:13" x14ac:dyDescent="0.25">
      <c r="A33" t="s">
        <v>0</v>
      </c>
      <c r="B33">
        <v>0</v>
      </c>
      <c r="C33">
        <v>59</v>
      </c>
      <c r="D33">
        <v>53</v>
      </c>
      <c r="E33">
        <v>411</v>
      </c>
      <c r="F33">
        <f t="shared" si="0"/>
        <v>3593.4110000000001</v>
      </c>
      <c r="G33">
        <f t="shared" si="1"/>
        <v>1</v>
      </c>
      <c r="H33">
        <f t="shared" si="2"/>
        <v>0</v>
      </c>
      <c r="I33">
        <f t="shared" si="3"/>
        <v>0</v>
      </c>
      <c r="J33">
        <f t="shared" si="4"/>
        <v>411.00000000005821</v>
      </c>
      <c r="K33">
        <f t="shared" si="5"/>
        <v>3600.4110000000001</v>
      </c>
      <c r="L33">
        <v>7</v>
      </c>
      <c r="M33" t="s">
        <v>15</v>
      </c>
    </row>
    <row r="34" spans="1:13" x14ac:dyDescent="0.25">
      <c r="A34" t="s">
        <v>0</v>
      </c>
      <c r="B34">
        <v>1</v>
      </c>
      <c r="C34">
        <v>0</v>
      </c>
      <c r="D34">
        <v>7</v>
      </c>
      <c r="E34">
        <v>692</v>
      </c>
      <c r="F34">
        <f t="shared" ref="F34:F58" si="6">B34*60*60 +C34*60 + D34 + E34*0.001</f>
        <v>3607.692</v>
      </c>
      <c r="G34">
        <f t="shared" ref="G34:G58" si="7">_xlfn.FLOOR.MATH(K34/3600)</f>
        <v>1</v>
      </c>
      <c r="H34">
        <f t="shared" ref="H34:H58" si="8">_xlfn.FLOOR.MATH((K34-3600*G34)/60)</f>
        <v>0</v>
      </c>
      <c r="I34">
        <f t="shared" ref="I34:I58" si="9">_xlfn.FLOOR.MATH(K34 - 3600*G34 - 60*H34)</f>
        <v>14</v>
      </c>
      <c r="J34">
        <f t="shared" ref="J34:J58" si="10">(K34-3600*G34 - 60*H34 -I34)*1000</f>
        <v>692.00000000000728</v>
      </c>
      <c r="K34">
        <f t="shared" ref="K34:K58" si="11">F34+L34</f>
        <v>3614.692</v>
      </c>
      <c r="L34">
        <v>7</v>
      </c>
      <c r="M34" t="s">
        <v>15</v>
      </c>
    </row>
    <row r="35" spans="1:13" x14ac:dyDescent="0.25">
      <c r="A35" t="s">
        <v>0</v>
      </c>
      <c r="B35">
        <v>1</v>
      </c>
      <c r="C35">
        <v>0</v>
      </c>
      <c r="D35">
        <v>30</v>
      </c>
      <c r="E35">
        <v>886</v>
      </c>
      <c r="F35">
        <f t="shared" si="6"/>
        <v>3630.886</v>
      </c>
      <c r="G35">
        <f t="shared" si="7"/>
        <v>1</v>
      </c>
      <c r="H35">
        <f t="shared" si="8"/>
        <v>0</v>
      </c>
      <c r="I35">
        <f t="shared" si="9"/>
        <v>37</v>
      </c>
      <c r="J35">
        <f t="shared" si="10"/>
        <v>885.99999999996726</v>
      </c>
      <c r="K35">
        <f t="shared" si="11"/>
        <v>3637.886</v>
      </c>
      <c r="L35">
        <v>7</v>
      </c>
      <c r="M35" t="s">
        <v>15</v>
      </c>
    </row>
    <row r="36" spans="1:13" x14ac:dyDescent="0.25">
      <c r="A36" t="s">
        <v>0</v>
      </c>
      <c r="B36">
        <v>1</v>
      </c>
      <c r="C36">
        <v>0</v>
      </c>
      <c r="D36">
        <v>46</v>
      </c>
      <c r="E36">
        <v>12</v>
      </c>
      <c r="F36">
        <f t="shared" si="6"/>
        <v>3646.0120000000002</v>
      </c>
      <c r="G36">
        <f t="shared" si="7"/>
        <v>1</v>
      </c>
      <c r="H36">
        <f t="shared" si="8"/>
        <v>0</v>
      </c>
      <c r="I36">
        <f t="shared" si="9"/>
        <v>53</v>
      </c>
      <c r="J36">
        <f t="shared" si="10"/>
        <v>12.000000000170985</v>
      </c>
      <c r="K36">
        <f t="shared" si="11"/>
        <v>3653.0120000000002</v>
      </c>
      <c r="L36">
        <v>7</v>
      </c>
      <c r="M36" t="s">
        <v>15</v>
      </c>
    </row>
    <row r="37" spans="1:13" x14ac:dyDescent="0.25">
      <c r="A37" t="s">
        <v>0</v>
      </c>
      <c r="B37">
        <v>1</v>
      </c>
      <c r="C37">
        <v>1</v>
      </c>
      <c r="D37">
        <v>2</v>
      </c>
      <c r="E37">
        <v>203</v>
      </c>
      <c r="F37">
        <f t="shared" si="6"/>
        <v>3662.203</v>
      </c>
      <c r="G37">
        <f t="shared" si="7"/>
        <v>1</v>
      </c>
      <c r="H37">
        <f t="shared" si="8"/>
        <v>1</v>
      </c>
      <c r="I37">
        <f t="shared" si="9"/>
        <v>9</v>
      </c>
      <c r="J37">
        <f t="shared" si="10"/>
        <v>202.99999999997453</v>
      </c>
      <c r="K37">
        <f t="shared" si="11"/>
        <v>3669.203</v>
      </c>
      <c r="L37">
        <v>7</v>
      </c>
      <c r="M37" t="s">
        <v>15</v>
      </c>
    </row>
    <row r="38" spans="1:13" x14ac:dyDescent="0.25">
      <c r="A38" t="s">
        <v>0</v>
      </c>
      <c r="B38">
        <v>1</v>
      </c>
      <c r="C38">
        <v>1</v>
      </c>
      <c r="D38">
        <v>19</v>
      </c>
      <c r="E38">
        <v>12</v>
      </c>
      <c r="F38">
        <f t="shared" si="6"/>
        <v>3679.0120000000002</v>
      </c>
      <c r="G38">
        <f t="shared" si="7"/>
        <v>1</v>
      </c>
      <c r="H38">
        <f t="shared" si="8"/>
        <v>1</v>
      </c>
      <c r="I38">
        <f t="shared" si="9"/>
        <v>26</v>
      </c>
      <c r="J38">
        <f t="shared" si="10"/>
        <v>12.000000000170985</v>
      </c>
      <c r="K38">
        <f t="shared" si="11"/>
        <v>3686.0120000000002</v>
      </c>
      <c r="L38">
        <v>7</v>
      </c>
      <c r="M38" t="s">
        <v>15</v>
      </c>
    </row>
    <row r="39" spans="1:13" x14ac:dyDescent="0.25">
      <c r="A39" t="s">
        <v>0</v>
      </c>
      <c r="B39">
        <v>1</v>
      </c>
      <c r="C39">
        <v>1</v>
      </c>
      <c r="D39">
        <v>28</v>
      </c>
      <c r="E39">
        <v>348</v>
      </c>
      <c r="F39">
        <f t="shared" si="6"/>
        <v>3688.348</v>
      </c>
      <c r="G39">
        <f t="shared" si="7"/>
        <v>1</v>
      </c>
      <c r="H39">
        <f t="shared" si="8"/>
        <v>1</v>
      </c>
      <c r="I39">
        <f t="shared" si="9"/>
        <v>35</v>
      </c>
      <c r="J39">
        <f t="shared" si="10"/>
        <v>347.99999999995634</v>
      </c>
      <c r="K39">
        <f t="shared" si="11"/>
        <v>3695.348</v>
      </c>
      <c r="L39">
        <v>7</v>
      </c>
      <c r="M39" t="s">
        <v>15</v>
      </c>
    </row>
    <row r="40" spans="1:13" x14ac:dyDescent="0.25">
      <c r="A40" t="s">
        <v>0</v>
      </c>
      <c r="B40">
        <v>1</v>
      </c>
      <c r="C40">
        <v>1</v>
      </c>
      <c r="D40">
        <v>47</v>
      </c>
      <c r="E40">
        <v>637</v>
      </c>
      <c r="F40">
        <f t="shared" si="6"/>
        <v>3707.6370000000002</v>
      </c>
      <c r="G40">
        <f t="shared" si="7"/>
        <v>1</v>
      </c>
      <c r="H40">
        <f t="shared" si="8"/>
        <v>1</v>
      </c>
      <c r="I40">
        <f t="shared" si="9"/>
        <v>54</v>
      </c>
      <c r="J40">
        <f t="shared" si="10"/>
        <v>637.00000000017099</v>
      </c>
      <c r="K40">
        <f t="shared" si="11"/>
        <v>3714.6370000000002</v>
      </c>
      <c r="L40">
        <v>7</v>
      </c>
      <c r="M40" t="s">
        <v>15</v>
      </c>
    </row>
    <row r="41" spans="1:13" x14ac:dyDescent="0.25">
      <c r="A41" t="s">
        <v>0</v>
      </c>
      <c r="B41">
        <v>1</v>
      </c>
      <c r="C41">
        <v>2</v>
      </c>
      <c r="D41">
        <v>18</v>
      </c>
      <c r="E41">
        <v>461</v>
      </c>
      <c r="F41">
        <f t="shared" si="6"/>
        <v>3738.4609999999998</v>
      </c>
      <c r="G41">
        <f t="shared" si="7"/>
        <v>1</v>
      </c>
      <c r="H41">
        <f t="shared" si="8"/>
        <v>2</v>
      </c>
      <c r="I41">
        <f t="shared" si="9"/>
        <v>25</v>
      </c>
      <c r="J41">
        <f t="shared" si="10"/>
        <v>460.99999999978536</v>
      </c>
      <c r="K41">
        <f t="shared" si="11"/>
        <v>3745.4609999999998</v>
      </c>
      <c r="L41">
        <v>7</v>
      </c>
      <c r="M41" t="s">
        <v>15</v>
      </c>
    </row>
    <row r="42" spans="1:13" x14ac:dyDescent="0.25">
      <c r="A42" t="s">
        <v>0</v>
      </c>
      <c r="B42">
        <v>1</v>
      </c>
      <c r="C42">
        <v>2</v>
      </c>
      <c r="D42">
        <v>35</v>
      </c>
      <c r="E42">
        <v>52</v>
      </c>
      <c r="F42">
        <f t="shared" si="6"/>
        <v>3755.0520000000001</v>
      </c>
      <c r="G42">
        <f t="shared" si="7"/>
        <v>1</v>
      </c>
      <c r="H42">
        <f t="shared" si="8"/>
        <v>2</v>
      </c>
      <c r="I42">
        <f t="shared" si="9"/>
        <v>42</v>
      </c>
      <c r="J42">
        <f t="shared" si="10"/>
        <v>52.000000000134605</v>
      </c>
      <c r="K42">
        <f t="shared" si="11"/>
        <v>3762.0520000000001</v>
      </c>
      <c r="L42">
        <v>7</v>
      </c>
      <c r="M42" t="s">
        <v>15</v>
      </c>
    </row>
    <row r="43" spans="1:13" x14ac:dyDescent="0.25">
      <c r="A43" t="s">
        <v>0</v>
      </c>
      <c r="B43">
        <v>1</v>
      </c>
      <c r="C43">
        <v>2</v>
      </c>
      <c r="D43">
        <v>52</v>
      </c>
      <c r="E43">
        <v>334</v>
      </c>
      <c r="F43">
        <f t="shared" si="6"/>
        <v>3772.3339999999998</v>
      </c>
      <c r="G43">
        <f t="shared" si="7"/>
        <v>1</v>
      </c>
      <c r="H43">
        <f t="shared" si="8"/>
        <v>2</v>
      </c>
      <c r="I43">
        <f t="shared" si="9"/>
        <v>59</v>
      </c>
      <c r="J43">
        <f t="shared" si="10"/>
        <v>333.99999999983265</v>
      </c>
      <c r="K43">
        <f t="shared" si="11"/>
        <v>3779.3339999999998</v>
      </c>
      <c r="L43">
        <v>7</v>
      </c>
      <c r="M43" t="s">
        <v>15</v>
      </c>
    </row>
    <row r="44" spans="1:13" x14ac:dyDescent="0.25">
      <c r="A44" t="s">
        <v>0</v>
      </c>
      <c r="B44">
        <v>1</v>
      </c>
      <c r="C44">
        <v>3</v>
      </c>
      <c r="D44">
        <v>18</v>
      </c>
      <c r="E44">
        <v>259</v>
      </c>
      <c r="F44">
        <f t="shared" si="6"/>
        <v>3798.259</v>
      </c>
      <c r="G44">
        <f t="shared" si="7"/>
        <v>1</v>
      </c>
      <c r="H44">
        <f t="shared" si="8"/>
        <v>3</v>
      </c>
      <c r="I44">
        <f t="shared" si="9"/>
        <v>25</v>
      </c>
      <c r="J44">
        <f t="shared" si="10"/>
        <v>259.00000000001455</v>
      </c>
      <c r="K44">
        <f t="shared" si="11"/>
        <v>3805.259</v>
      </c>
      <c r="L44">
        <v>7</v>
      </c>
      <c r="M44" t="s">
        <v>15</v>
      </c>
    </row>
    <row r="45" spans="1:13" x14ac:dyDescent="0.25">
      <c r="A45" t="s">
        <v>0</v>
      </c>
      <c r="B45">
        <v>1</v>
      </c>
      <c r="C45">
        <v>3</v>
      </c>
      <c r="D45">
        <v>35</v>
      </c>
      <c r="E45">
        <v>120</v>
      </c>
      <c r="F45">
        <f t="shared" si="6"/>
        <v>3815.12</v>
      </c>
      <c r="G45">
        <f t="shared" si="7"/>
        <v>1</v>
      </c>
      <c r="H45">
        <f t="shared" si="8"/>
        <v>3</v>
      </c>
      <c r="I45">
        <f t="shared" si="9"/>
        <v>42</v>
      </c>
      <c r="J45">
        <f t="shared" si="10"/>
        <v>119.99999999989086</v>
      </c>
      <c r="K45">
        <f t="shared" si="11"/>
        <v>3822.12</v>
      </c>
      <c r="L45">
        <v>7</v>
      </c>
      <c r="M45" t="s">
        <v>15</v>
      </c>
    </row>
    <row r="46" spans="1:13" x14ac:dyDescent="0.25">
      <c r="A46" t="s">
        <v>0</v>
      </c>
      <c r="B46">
        <v>1</v>
      </c>
      <c r="C46">
        <v>3</v>
      </c>
      <c r="D46">
        <v>52</v>
      </c>
      <c r="E46">
        <v>529</v>
      </c>
      <c r="F46">
        <f t="shared" si="6"/>
        <v>3832.529</v>
      </c>
      <c r="G46">
        <f t="shared" si="7"/>
        <v>1</v>
      </c>
      <c r="H46">
        <f t="shared" si="8"/>
        <v>3</v>
      </c>
      <c r="I46">
        <f t="shared" si="9"/>
        <v>59</v>
      </c>
      <c r="J46">
        <f t="shared" si="10"/>
        <v>528.99999999999636</v>
      </c>
      <c r="K46">
        <f t="shared" si="11"/>
        <v>3839.529</v>
      </c>
      <c r="L46">
        <v>7</v>
      </c>
      <c r="M46" t="s">
        <v>15</v>
      </c>
    </row>
    <row r="47" spans="1:13" x14ac:dyDescent="0.25">
      <c r="A47" t="s">
        <v>0</v>
      </c>
      <c r="B47">
        <v>1</v>
      </c>
      <c r="C47">
        <v>4</v>
      </c>
      <c r="D47">
        <v>9</v>
      </c>
      <c r="E47">
        <v>411</v>
      </c>
      <c r="F47">
        <f t="shared" si="6"/>
        <v>3849.4110000000001</v>
      </c>
      <c r="G47">
        <f t="shared" si="7"/>
        <v>1</v>
      </c>
      <c r="H47">
        <f t="shared" si="8"/>
        <v>4</v>
      </c>
      <c r="I47">
        <f t="shared" si="9"/>
        <v>16</v>
      </c>
      <c r="J47">
        <f t="shared" si="10"/>
        <v>411.00000000005821</v>
      </c>
      <c r="K47">
        <f t="shared" si="11"/>
        <v>3856.4110000000001</v>
      </c>
      <c r="L47">
        <v>7</v>
      </c>
      <c r="M47" t="s">
        <v>15</v>
      </c>
    </row>
    <row r="48" spans="1:13" x14ac:dyDescent="0.25">
      <c r="A48" t="s">
        <v>0</v>
      </c>
      <c r="B48">
        <v>1</v>
      </c>
      <c r="C48">
        <v>4</v>
      </c>
      <c r="D48">
        <v>27</v>
      </c>
      <c r="E48">
        <v>480</v>
      </c>
      <c r="F48">
        <f t="shared" si="6"/>
        <v>3867.48</v>
      </c>
      <c r="G48">
        <f t="shared" si="7"/>
        <v>1</v>
      </c>
      <c r="H48">
        <f t="shared" si="8"/>
        <v>4</v>
      </c>
      <c r="I48">
        <f t="shared" si="9"/>
        <v>34</v>
      </c>
      <c r="J48">
        <f t="shared" si="10"/>
        <v>480.00000000001819</v>
      </c>
      <c r="K48">
        <f t="shared" si="11"/>
        <v>3874.48</v>
      </c>
      <c r="L48">
        <v>7</v>
      </c>
      <c r="M48" t="s">
        <v>15</v>
      </c>
    </row>
    <row r="49" spans="1:13" x14ac:dyDescent="0.25">
      <c r="A49" t="s">
        <v>0</v>
      </c>
      <c r="B49">
        <v>1</v>
      </c>
      <c r="C49">
        <v>4</v>
      </c>
      <c r="D49">
        <v>44</v>
      </c>
      <c r="E49">
        <v>957</v>
      </c>
      <c r="F49">
        <f t="shared" si="6"/>
        <v>3884.9569999999999</v>
      </c>
      <c r="G49">
        <f t="shared" si="7"/>
        <v>1</v>
      </c>
      <c r="H49">
        <f t="shared" si="8"/>
        <v>4</v>
      </c>
      <c r="I49">
        <f t="shared" si="9"/>
        <v>51</v>
      </c>
      <c r="J49">
        <f t="shared" si="10"/>
        <v>956.99999999987995</v>
      </c>
      <c r="K49">
        <f t="shared" si="11"/>
        <v>3891.9569999999999</v>
      </c>
      <c r="L49">
        <v>7</v>
      </c>
      <c r="M49" t="s">
        <v>15</v>
      </c>
    </row>
    <row r="50" spans="1:13" x14ac:dyDescent="0.25">
      <c r="A50" t="s">
        <v>0</v>
      </c>
      <c r="B50">
        <v>1</v>
      </c>
      <c r="C50">
        <v>5</v>
      </c>
      <c r="D50">
        <v>1</v>
      </c>
      <c r="E50">
        <v>388</v>
      </c>
      <c r="F50">
        <f t="shared" si="6"/>
        <v>3901.3879999999999</v>
      </c>
      <c r="G50">
        <f t="shared" si="7"/>
        <v>1</v>
      </c>
      <c r="H50">
        <f t="shared" si="8"/>
        <v>5</v>
      </c>
      <c r="I50">
        <f t="shared" si="9"/>
        <v>8</v>
      </c>
      <c r="J50">
        <f t="shared" si="10"/>
        <v>387.99999999991996</v>
      </c>
      <c r="K50">
        <f t="shared" si="11"/>
        <v>3908.3879999999999</v>
      </c>
      <c r="L50">
        <v>7</v>
      </c>
      <c r="M50" t="s">
        <v>15</v>
      </c>
    </row>
    <row r="51" spans="1:13" x14ac:dyDescent="0.25">
      <c r="A51" t="s">
        <v>0</v>
      </c>
      <c r="B51">
        <v>1</v>
      </c>
      <c r="C51">
        <v>5</v>
      </c>
      <c r="D51">
        <v>26</v>
      </c>
      <c r="E51">
        <v>163</v>
      </c>
      <c r="F51">
        <f t="shared" si="6"/>
        <v>3926.163</v>
      </c>
      <c r="G51">
        <f t="shared" si="7"/>
        <v>1</v>
      </c>
      <c r="H51">
        <f t="shared" si="8"/>
        <v>5</v>
      </c>
      <c r="I51">
        <f t="shared" si="9"/>
        <v>33</v>
      </c>
      <c r="J51">
        <f t="shared" si="10"/>
        <v>163.00000000001091</v>
      </c>
      <c r="K51">
        <f t="shared" si="11"/>
        <v>3933.163</v>
      </c>
      <c r="L51">
        <v>7</v>
      </c>
      <c r="M51" t="s">
        <v>15</v>
      </c>
    </row>
    <row r="52" spans="1:13" x14ac:dyDescent="0.25">
      <c r="A52" t="s">
        <v>0</v>
      </c>
      <c r="B52">
        <v>1</v>
      </c>
      <c r="C52">
        <v>5</v>
      </c>
      <c r="D52">
        <v>45</v>
      </c>
      <c r="E52">
        <v>437</v>
      </c>
      <c r="F52">
        <f t="shared" si="6"/>
        <v>3945.4369999999999</v>
      </c>
      <c r="G52">
        <f t="shared" si="7"/>
        <v>1</v>
      </c>
      <c r="H52">
        <f t="shared" si="8"/>
        <v>5</v>
      </c>
      <c r="I52">
        <f t="shared" si="9"/>
        <v>52</v>
      </c>
      <c r="J52">
        <f t="shared" si="10"/>
        <v>436.99999999989814</v>
      </c>
      <c r="K52">
        <f t="shared" si="11"/>
        <v>3952.4369999999999</v>
      </c>
      <c r="L52">
        <v>7</v>
      </c>
      <c r="M52" t="s">
        <v>15</v>
      </c>
    </row>
    <row r="53" spans="1:13" x14ac:dyDescent="0.25">
      <c r="A53" t="s">
        <v>0</v>
      </c>
      <c r="B53">
        <v>1</v>
      </c>
      <c r="C53">
        <v>6</v>
      </c>
      <c r="D53">
        <v>2</v>
      </c>
      <c r="E53">
        <v>949</v>
      </c>
      <c r="F53">
        <f t="shared" si="6"/>
        <v>3962.9490000000001</v>
      </c>
      <c r="G53">
        <f t="shared" si="7"/>
        <v>1</v>
      </c>
      <c r="H53">
        <f t="shared" si="8"/>
        <v>6</v>
      </c>
      <c r="I53">
        <f t="shared" si="9"/>
        <v>9</v>
      </c>
      <c r="J53">
        <f t="shared" si="10"/>
        <v>949.00000000006912</v>
      </c>
      <c r="K53">
        <f t="shared" si="11"/>
        <v>3969.9490000000001</v>
      </c>
      <c r="L53">
        <v>7</v>
      </c>
      <c r="M53" t="s">
        <v>15</v>
      </c>
    </row>
    <row r="54" spans="1:13" x14ac:dyDescent="0.25">
      <c r="A54" t="s">
        <v>0</v>
      </c>
      <c r="B54">
        <v>1</v>
      </c>
      <c r="C54">
        <v>6</v>
      </c>
      <c r="D54">
        <v>20</v>
      </c>
      <c r="E54">
        <v>420</v>
      </c>
      <c r="F54">
        <f t="shared" si="6"/>
        <v>3980.42</v>
      </c>
      <c r="G54">
        <f t="shared" si="7"/>
        <v>1</v>
      </c>
      <c r="H54">
        <f t="shared" si="8"/>
        <v>6</v>
      </c>
      <c r="I54">
        <f t="shared" si="9"/>
        <v>27</v>
      </c>
      <c r="J54">
        <f t="shared" si="10"/>
        <v>420.00000000007276</v>
      </c>
      <c r="K54">
        <f t="shared" si="11"/>
        <v>3987.42</v>
      </c>
      <c r="L54">
        <v>7</v>
      </c>
      <c r="M54" t="s">
        <v>15</v>
      </c>
    </row>
    <row r="55" spans="1:13" x14ac:dyDescent="0.25">
      <c r="A55" t="s">
        <v>0</v>
      </c>
      <c r="B55">
        <v>1</v>
      </c>
      <c r="C55">
        <v>6</v>
      </c>
      <c r="D55">
        <v>37</v>
      </c>
      <c r="E55">
        <v>954</v>
      </c>
      <c r="F55">
        <f t="shared" si="6"/>
        <v>3997.9540000000002</v>
      </c>
      <c r="G55">
        <f t="shared" si="7"/>
        <v>1</v>
      </c>
      <c r="H55">
        <f t="shared" si="8"/>
        <v>6</v>
      </c>
      <c r="I55">
        <f t="shared" si="9"/>
        <v>44</v>
      </c>
      <c r="J55">
        <f t="shared" si="10"/>
        <v>954.00000000017826</v>
      </c>
      <c r="K55">
        <f t="shared" si="11"/>
        <v>4004.9540000000002</v>
      </c>
      <c r="L55">
        <v>7</v>
      </c>
      <c r="M55" t="s">
        <v>15</v>
      </c>
    </row>
    <row r="56" spans="1:13" x14ac:dyDescent="0.25">
      <c r="A56" t="s">
        <v>0</v>
      </c>
      <c r="B56">
        <v>1</v>
      </c>
      <c r="C56">
        <v>6</v>
      </c>
      <c r="D56">
        <v>55</v>
      </c>
      <c r="E56">
        <v>558</v>
      </c>
      <c r="F56">
        <f t="shared" si="6"/>
        <v>4015.558</v>
      </c>
      <c r="G56">
        <f t="shared" si="7"/>
        <v>1</v>
      </c>
      <c r="H56">
        <f t="shared" si="8"/>
        <v>7</v>
      </c>
      <c r="I56">
        <f t="shared" si="9"/>
        <v>2</v>
      </c>
      <c r="J56">
        <f t="shared" si="10"/>
        <v>557.99999999999272</v>
      </c>
      <c r="K56">
        <f t="shared" si="11"/>
        <v>4022.558</v>
      </c>
      <c r="L56">
        <v>7</v>
      </c>
      <c r="M56" t="s">
        <v>15</v>
      </c>
    </row>
    <row r="57" spans="1:13" x14ac:dyDescent="0.25">
      <c r="A57" t="s">
        <v>0</v>
      </c>
      <c r="B57">
        <v>1</v>
      </c>
      <c r="C57">
        <v>7</v>
      </c>
      <c r="D57">
        <v>12</v>
      </c>
      <c r="E57">
        <v>684</v>
      </c>
      <c r="F57">
        <f t="shared" si="6"/>
        <v>4032.6840000000002</v>
      </c>
      <c r="G57">
        <f t="shared" si="7"/>
        <v>1</v>
      </c>
      <c r="H57">
        <f t="shared" si="8"/>
        <v>7</v>
      </c>
      <c r="I57">
        <f t="shared" si="9"/>
        <v>19</v>
      </c>
      <c r="J57">
        <f t="shared" si="10"/>
        <v>684.00000000019645</v>
      </c>
      <c r="K57">
        <f t="shared" si="11"/>
        <v>4039.6840000000002</v>
      </c>
      <c r="L57">
        <v>7</v>
      </c>
      <c r="M57" t="s">
        <v>15</v>
      </c>
    </row>
    <row r="58" spans="1:13" x14ac:dyDescent="0.25">
      <c r="A58" t="s">
        <v>0</v>
      </c>
      <c r="B58">
        <v>1</v>
      </c>
      <c r="C58">
        <v>7</v>
      </c>
      <c r="D58">
        <v>30</v>
      </c>
      <c r="E58">
        <v>519</v>
      </c>
      <c r="F58">
        <f t="shared" si="6"/>
        <v>4050.5189999999998</v>
      </c>
      <c r="G58">
        <f t="shared" si="7"/>
        <v>1</v>
      </c>
      <c r="H58">
        <f t="shared" si="8"/>
        <v>7</v>
      </c>
      <c r="I58">
        <f t="shared" si="9"/>
        <v>37</v>
      </c>
      <c r="J58">
        <f t="shared" si="10"/>
        <v>518.99999999977808</v>
      </c>
      <c r="K58">
        <f t="shared" si="11"/>
        <v>4057.5189999999998</v>
      </c>
      <c r="L58">
        <v>7</v>
      </c>
      <c r="M58" t="s">
        <v>15</v>
      </c>
    </row>
    <row r="59" spans="1:13" x14ac:dyDescent="0.25">
      <c r="A59" t="s">
        <v>1</v>
      </c>
      <c r="B59">
        <f t="shared" ref="B59:B102" si="12">_xlfn.FLOOR.MATH(F59/3600)</f>
        <v>1</v>
      </c>
      <c r="C59">
        <f t="shared" ref="C59:C102" si="13">_xlfn.FLOOR.MATH((F59-3600*B59)/60)</f>
        <v>8</v>
      </c>
      <c r="D59">
        <f t="shared" ref="D59:D102" si="14">_xlfn.FLOOR.MATH(F59 - 3600*B59 - 60*C59)</f>
        <v>28</v>
      </c>
      <c r="E59">
        <f t="shared" ref="E59:E102" si="15">(F59-3600*B59 - 60*C59 -D59)*1000</f>
        <v>386.00000000042201</v>
      </c>
      <c r="F59">
        <f t="shared" ref="F59:F102" si="16">K59-L59</f>
        <v>4108.3860000000004</v>
      </c>
      <c r="G59">
        <v>1</v>
      </c>
      <c r="H59">
        <v>8</v>
      </c>
      <c r="I59">
        <v>33</v>
      </c>
      <c r="J59">
        <v>386</v>
      </c>
      <c r="K59">
        <f t="shared" ref="K59:K102" si="17">G59*60*60 +H59*60 + I59 + J59*0.001</f>
        <v>4113.3860000000004</v>
      </c>
      <c r="L59">
        <v>5</v>
      </c>
      <c r="M59" t="s">
        <v>16</v>
      </c>
    </row>
    <row r="60" spans="1:13" x14ac:dyDescent="0.25">
      <c r="A60" t="s">
        <v>1</v>
      </c>
      <c r="B60">
        <f t="shared" si="12"/>
        <v>1</v>
      </c>
      <c r="C60">
        <f t="shared" si="13"/>
        <v>8</v>
      </c>
      <c r="D60">
        <f t="shared" si="14"/>
        <v>46</v>
      </c>
      <c r="E60">
        <f t="shared" si="15"/>
        <v>320.99999999991269</v>
      </c>
      <c r="F60">
        <f t="shared" si="16"/>
        <v>4126.3209999999999</v>
      </c>
      <c r="G60">
        <v>1</v>
      </c>
      <c r="H60">
        <v>8</v>
      </c>
      <c r="I60">
        <v>51</v>
      </c>
      <c r="J60">
        <v>321</v>
      </c>
      <c r="K60">
        <f t="shared" si="17"/>
        <v>4131.3209999999999</v>
      </c>
      <c r="L60">
        <v>5</v>
      </c>
      <c r="M60" t="s">
        <v>16</v>
      </c>
    </row>
    <row r="61" spans="1:13" x14ac:dyDescent="0.25">
      <c r="A61" t="s">
        <v>1</v>
      </c>
      <c r="B61">
        <f t="shared" si="12"/>
        <v>1</v>
      </c>
      <c r="C61">
        <f t="shared" si="13"/>
        <v>9</v>
      </c>
      <c r="D61">
        <f t="shared" si="14"/>
        <v>5</v>
      </c>
      <c r="E61">
        <f t="shared" si="15"/>
        <v>478.00000000006548</v>
      </c>
      <c r="F61">
        <f t="shared" si="16"/>
        <v>4145.4780000000001</v>
      </c>
      <c r="G61">
        <v>1</v>
      </c>
      <c r="H61">
        <v>9</v>
      </c>
      <c r="I61">
        <v>10</v>
      </c>
      <c r="J61">
        <v>478</v>
      </c>
      <c r="K61">
        <f t="shared" si="17"/>
        <v>4150.4780000000001</v>
      </c>
      <c r="L61">
        <v>5</v>
      </c>
      <c r="M61" t="s">
        <v>16</v>
      </c>
    </row>
    <row r="62" spans="1:13" x14ac:dyDescent="0.25">
      <c r="A62" t="s">
        <v>1</v>
      </c>
      <c r="B62">
        <f t="shared" si="12"/>
        <v>1</v>
      </c>
      <c r="C62">
        <f t="shared" si="13"/>
        <v>9</v>
      </c>
      <c r="D62">
        <f t="shared" si="14"/>
        <v>22</v>
      </c>
      <c r="E62">
        <f t="shared" si="15"/>
        <v>640.00000000032742</v>
      </c>
      <c r="F62">
        <f t="shared" si="16"/>
        <v>4162.6400000000003</v>
      </c>
      <c r="G62">
        <v>1</v>
      </c>
      <c r="H62">
        <v>9</v>
      </c>
      <c r="I62">
        <v>27</v>
      </c>
      <c r="J62">
        <v>640</v>
      </c>
      <c r="K62">
        <f t="shared" si="17"/>
        <v>4167.6400000000003</v>
      </c>
      <c r="L62">
        <v>5</v>
      </c>
      <c r="M62" t="s">
        <v>16</v>
      </c>
    </row>
    <row r="63" spans="1:13" x14ac:dyDescent="0.25">
      <c r="A63" t="s">
        <v>1</v>
      </c>
      <c r="B63">
        <f t="shared" si="12"/>
        <v>1</v>
      </c>
      <c r="C63">
        <f t="shared" si="13"/>
        <v>9</v>
      </c>
      <c r="D63">
        <f t="shared" si="14"/>
        <v>40</v>
      </c>
      <c r="E63">
        <f t="shared" si="15"/>
        <v>829.99999999992724</v>
      </c>
      <c r="F63">
        <f t="shared" si="16"/>
        <v>4180.83</v>
      </c>
      <c r="G63">
        <v>1</v>
      </c>
      <c r="H63">
        <v>9</v>
      </c>
      <c r="I63">
        <v>45</v>
      </c>
      <c r="J63">
        <v>830</v>
      </c>
      <c r="K63">
        <f t="shared" si="17"/>
        <v>4185.83</v>
      </c>
      <c r="L63">
        <v>5</v>
      </c>
      <c r="M63" t="s">
        <v>16</v>
      </c>
    </row>
    <row r="64" spans="1:13" x14ac:dyDescent="0.25">
      <c r="A64" t="s">
        <v>1</v>
      </c>
      <c r="B64">
        <f t="shared" si="12"/>
        <v>1</v>
      </c>
      <c r="C64">
        <f t="shared" si="13"/>
        <v>9</v>
      </c>
      <c r="D64">
        <f t="shared" si="14"/>
        <v>58</v>
      </c>
      <c r="E64">
        <f t="shared" si="15"/>
        <v>770.00000000043656</v>
      </c>
      <c r="F64">
        <f t="shared" si="16"/>
        <v>4198.7700000000004</v>
      </c>
      <c r="G64">
        <v>1</v>
      </c>
      <c r="H64">
        <v>10</v>
      </c>
      <c r="I64">
        <v>3</v>
      </c>
      <c r="J64">
        <v>770</v>
      </c>
      <c r="K64">
        <f t="shared" si="17"/>
        <v>4203.7700000000004</v>
      </c>
      <c r="L64">
        <v>5</v>
      </c>
      <c r="M64" t="s">
        <v>16</v>
      </c>
    </row>
    <row r="65" spans="1:13" x14ac:dyDescent="0.25">
      <c r="A65" t="s">
        <v>1</v>
      </c>
      <c r="B65">
        <f t="shared" si="12"/>
        <v>1</v>
      </c>
      <c r="C65">
        <f t="shared" si="13"/>
        <v>10</v>
      </c>
      <c r="D65">
        <f t="shared" si="14"/>
        <v>17</v>
      </c>
      <c r="E65">
        <f t="shared" si="15"/>
        <v>587.99999999973807</v>
      </c>
      <c r="F65">
        <f t="shared" si="16"/>
        <v>4217.5879999999997</v>
      </c>
      <c r="G65">
        <v>1</v>
      </c>
      <c r="H65">
        <v>10</v>
      </c>
      <c r="I65">
        <v>22</v>
      </c>
      <c r="J65">
        <v>588</v>
      </c>
      <c r="K65">
        <f t="shared" si="17"/>
        <v>4222.5879999999997</v>
      </c>
      <c r="L65">
        <v>5</v>
      </c>
      <c r="M65" t="s">
        <v>16</v>
      </c>
    </row>
    <row r="66" spans="1:13" x14ac:dyDescent="0.25">
      <c r="A66" t="s">
        <v>1</v>
      </c>
      <c r="B66">
        <f t="shared" si="12"/>
        <v>1</v>
      </c>
      <c r="C66">
        <f t="shared" si="13"/>
        <v>10</v>
      </c>
      <c r="D66">
        <f t="shared" si="14"/>
        <v>35</v>
      </c>
      <c r="E66">
        <f t="shared" si="15"/>
        <v>398.00000000013824</v>
      </c>
      <c r="F66">
        <f t="shared" si="16"/>
        <v>4235.3980000000001</v>
      </c>
      <c r="G66">
        <v>1</v>
      </c>
      <c r="H66">
        <v>10</v>
      </c>
      <c r="I66">
        <v>40</v>
      </c>
      <c r="J66">
        <v>398</v>
      </c>
      <c r="K66">
        <f t="shared" si="17"/>
        <v>4240.3980000000001</v>
      </c>
      <c r="L66">
        <v>5</v>
      </c>
      <c r="M66" t="s">
        <v>16</v>
      </c>
    </row>
    <row r="67" spans="1:13" x14ac:dyDescent="0.25">
      <c r="A67" t="s">
        <v>1</v>
      </c>
      <c r="B67">
        <f t="shared" si="12"/>
        <v>1</v>
      </c>
      <c r="C67">
        <f t="shared" si="13"/>
        <v>10</v>
      </c>
      <c r="D67">
        <f t="shared" si="14"/>
        <v>57</v>
      </c>
      <c r="E67">
        <f t="shared" si="15"/>
        <v>426.99999999967986</v>
      </c>
      <c r="F67">
        <f t="shared" si="16"/>
        <v>4257.4269999999997</v>
      </c>
      <c r="G67">
        <v>1</v>
      </c>
      <c r="H67">
        <v>11</v>
      </c>
      <c r="I67">
        <v>2</v>
      </c>
      <c r="J67">
        <v>427</v>
      </c>
      <c r="K67">
        <f t="shared" si="17"/>
        <v>4262.4269999999997</v>
      </c>
      <c r="L67">
        <v>5</v>
      </c>
      <c r="M67" t="s">
        <v>16</v>
      </c>
    </row>
    <row r="68" spans="1:13" x14ac:dyDescent="0.25">
      <c r="A68" t="s">
        <v>1</v>
      </c>
      <c r="B68">
        <f t="shared" si="12"/>
        <v>1</v>
      </c>
      <c r="C68">
        <f t="shared" si="13"/>
        <v>11</v>
      </c>
      <c r="D68">
        <f t="shared" si="14"/>
        <v>15</v>
      </c>
      <c r="E68">
        <f t="shared" si="15"/>
        <v>556.999999999789</v>
      </c>
      <c r="F68">
        <f t="shared" si="16"/>
        <v>4275.5569999999998</v>
      </c>
      <c r="G68">
        <v>1</v>
      </c>
      <c r="H68">
        <v>11</v>
      </c>
      <c r="I68">
        <v>20</v>
      </c>
      <c r="J68">
        <v>557</v>
      </c>
      <c r="K68">
        <f t="shared" si="17"/>
        <v>4280.5569999999998</v>
      </c>
      <c r="L68">
        <v>5</v>
      </c>
      <c r="M68" t="s">
        <v>16</v>
      </c>
    </row>
    <row r="69" spans="1:13" x14ac:dyDescent="0.25">
      <c r="A69" t="s">
        <v>1</v>
      </c>
      <c r="B69">
        <f t="shared" si="12"/>
        <v>1</v>
      </c>
      <c r="C69">
        <f t="shared" si="13"/>
        <v>11</v>
      </c>
      <c r="D69">
        <f t="shared" si="14"/>
        <v>33</v>
      </c>
      <c r="E69">
        <f t="shared" si="15"/>
        <v>704.99999999992724</v>
      </c>
      <c r="F69">
        <f t="shared" si="16"/>
        <v>4293.7049999999999</v>
      </c>
      <c r="G69">
        <v>1</v>
      </c>
      <c r="H69">
        <v>11</v>
      </c>
      <c r="I69">
        <v>38</v>
      </c>
      <c r="J69">
        <v>705</v>
      </c>
      <c r="K69">
        <f t="shared" si="17"/>
        <v>4298.7049999999999</v>
      </c>
      <c r="L69">
        <v>5</v>
      </c>
      <c r="M69" t="s">
        <v>16</v>
      </c>
    </row>
    <row r="70" spans="1:13" x14ac:dyDescent="0.25">
      <c r="A70" t="s">
        <v>1</v>
      </c>
      <c r="B70">
        <f t="shared" si="12"/>
        <v>1</v>
      </c>
      <c r="C70">
        <f t="shared" si="13"/>
        <v>11</v>
      </c>
      <c r="D70">
        <f t="shared" si="14"/>
        <v>50</v>
      </c>
      <c r="E70">
        <f t="shared" si="15"/>
        <v>396.99999999993452</v>
      </c>
      <c r="F70">
        <f t="shared" si="16"/>
        <v>4310.3969999999999</v>
      </c>
      <c r="G70">
        <v>1</v>
      </c>
      <c r="H70">
        <v>11</v>
      </c>
      <c r="I70">
        <v>55</v>
      </c>
      <c r="J70">
        <v>397</v>
      </c>
      <c r="K70">
        <f t="shared" si="17"/>
        <v>4315.3969999999999</v>
      </c>
      <c r="L70">
        <v>5</v>
      </c>
      <c r="M70" t="s">
        <v>16</v>
      </c>
    </row>
    <row r="71" spans="1:13" x14ac:dyDescent="0.25">
      <c r="A71" t="s">
        <v>1</v>
      </c>
      <c r="B71">
        <f t="shared" si="12"/>
        <v>1</v>
      </c>
      <c r="C71">
        <f t="shared" si="13"/>
        <v>12</v>
      </c>
      <c r="D71">
        <f t="shared" si="14"/>
        <v>8</v>
      </c>
      <c r="E71">
        <f t="shared" si="15"/>
        <v>21.999999999934516</v>
      </c>
      <c r="F71">
        <f t="shared" si="16"/>
        <v>4328.0219999999999</v>
      </c>
      <c r="G71">
        <v>1</v>
      </c>
      <c r="H71">
        <v>12</v>
      </c>
      <c r="I71">
        <v>13</v>
      </c>
      <c r="J71">
        <v>22</v>
      </c>
      <c r="K71">
        <f t="shared" si="17"/>
        <v>4333.0219999999999</v>
      </c>
      <c r="L71">
        <v>5</v>
      </c>
      <c r="M71" t="s">
        <v>16</v>
      </c>
    </row>
    <row r="72" spans="1:13" x14ac:dyDescent="0.25">
      <c r="A72" t="s">
        <v>1</v>
      </c>
      <c r="B72">
        <f t="shared" si="12"/>
        <v>1</v>
      </c>
      <c r="C72">
        <f t="shared" si="13"/>
        <v>12</v>
      </c>
      <c r="D72">
        <f t="shared" si="14"/>
        <v>26</v>
      </c>
      <c r="E72">
        <f t="shared" si="15"/>
        <v>3.9999999999054126</v>
      </c>
      <c r="F72">
        <f t="shared" si="16"/>
        <v>4346.0039999999999</v>
      </c>
      <c r="G72">
        <v>1</v>
      </c>
      <c r="H72">
        <v>12</v>
      </c>
      <c r="I72">
        <v>31</v>
      </c>
      <c r="J72">
        <v>4</v>
      </c>
      <c r="K72">
        <f t="shared" si="17"/>
        <v>4351.0039999999999</v>
      </c>
      <c r="L72">
        <v>5</v>
      </c>
      <c r="M72" t="s">
        <v>16</v>
      </c>
    </row>
    <row r="73" spans="1:13" x14ac:dyDescent="0.25">
      <c r="A73" t="s">
        <v>1</v>
      </c>
      <c r="B73">
        <f t="shared" si="12"/>
        <v>1</v>
      </c>
      <c r="C73">
        <f t="shared" si="13"/>
        <v>12</v>
      </c>
      <c r="D73">
        <f t="shared" si="14"/>
        <v>44</v>
      </c>
      <c r="E73">
        <f t="shared" si="15"/>
        <v>224.00000000016007</v>
      </c>
      <c r="F73">
        <f t="shared" si="16"/>
        <v>4364.2240000000002</v>
      </c>
      <c r="G73">
        <v>1</v>
      </c>
      <c r="H73">
        <v>12</v>
      </c>
      <c r="I73">
        <v>49</v>
      </c>
      <c r="J73">
        <v>224</v>
      </c>
      <c r="K73">
        <f t="shared" si="17"/>
        <v>4369.2240000000002</v>
      </c>
      <c r="L73">
        <v>5</v>
      </c>
      <c r="M73" t="s">
        <v>16</v>
      </c>
    </row>
    <row r="74" spans="1:13" x14ac:dyDescent="0.25">
      <c r="A74" t="s">
        <v>1</v>
      </c>
      <c r="B74">
        <f t="shared" si="12"/>
        <v>1</v>
      </c>
      <c r="C74">
        <f t="shared" si="13"/>
        <v>13</v>
      </c>
      <c r="D74">
        <f t="shared" si="14"/>
        <v>1</v>
      </c>
      <c r="E74">
        <f t="shared" si="15"/>
        <v>171.99999999957072</v>
      </c>
      <c r="F74">
        <f t="shared" si="16"/>
        <v>4381.1719999999996</v>
      </c>
      <c r="G74">
        <v>1</v>
      </c>
      <c r="H74">
        <v>13</v>
      </c>
      <c r="I74">
        <v>6</v>
      </c>
      <c r="J74">
        <v>172</v>
      </c>
      <c r="K74">
        <f t="shared" si="17"/>
        <v>4386.1719999999996</v>
      </c>
      <c r="L74">
        <v>5</v>
      </c>
      <c r="M74" t="s">
        <v>16</v>
      </c>
    </row>
    <row r="75" spans="1:13" x14ac:dyDescent="0.25">
      <c r="A75" t="s">
        <v>1</v>
      </c>
      <c r="B75">
        <f t="shared" si="12"/>
        <v>1</v>
      </c>
      <c r="C75">
        <f t="shared" si="13"/>
        <v>13</v>
      </c>
      <c r="D75">
        <f t="shared" si="14"/>
        <v>16</v>
      </c>
      <c r="E75">
        <f t="shared" si="15"/>
        <v>730.99999999976717</v>
      </c>
      <c r="F75">
        <f t="shared" si="16"/>
        <v>4396.7309999999998</v>
      </c>
      <c r="G75">
        <v>1</v>
      </c>
      <c r="H75">
        <v>13</v>
      </c>
      <c r="I75">
        <v>21</v>
      </c>
      <c r="J75">
        <v>731</v>
      </c>
      <c r="K75">
        <f t="shared" si="17"/>
        <v>4401.7309999999998</v>
      </c>
      <c r="L75">
        <v>5</v>
      </c>
      <c r="M75" t="s">
        <v>16</v>
      </c>
    </row>
    <row r="76" spans="1:13" x14ac:dyDescent="0.25">
      <c r="A76" t="s">
        <v>1</v>
      </c>
      <c r="B76">
        <f t="shared" si="12"/>
        <v>1</v>
      </c>
      <c r="C76">
        <f t="shared" si="13"/>
        <v>13</v>
      </c>
      <c r="D76">
        <f t="shared" si="14"/>
        <v>35</v>
      </c>
      <c r="E76">
        <f t="shared" si="15"/>
        <v>47.999999999774445</v>
      </c>
      <c r="F76">
        <f t="shared" si="16"/>
        <v>4415.0479999999998</v>
      </c>
      <c r="G76">
        <v>1</v>
      </c>
      <c r="H76">
        <v>13</v>
      </c>
      <c r="I76">
        <v>40</v>
      </c>
      <c r="J76">
        <v>48</v>
      </c>
      <c r="K76">
        <f t="shared" si="17"/>
        <v>4420.0479999999998</v>
      </c>
      <c r="L76">
        <v>5</v>
      </c>
      <c r="M76" t="s">
        <v>16</v>
      </c>
    </row>
    <row r="77" spans="1:13" x14ac:dyDescent="0.25">
      <c r="A77" t="s">
        <v>1</v>
      </c>
      <c r="B77">
        <f t="shared" si="12"/>
        <v>1</v>
      </c>
      <c r="C77">
        <f t="shared" si="13"/>
        <v>13</v>
      </c>
      <c r="D77">
        <f t="shared" si="14"/>
        <v>57</v>
      </c>
      <c r="E77">
        <f t="shared" si="15"/>
        <v>144.00000000023283</v>
      </c>
      <c r="F77">
        <f t="shared" si="16"/>
        <v>4437.1440000000002</v>
      </c>
      <c r="G77">
        <v>1</v>
      </c>
      <c r="H77">
        <v>14</v>
      </c>
      <c r="I77">
        <v>2</v>
      </c>
      <c r="J77">
        <v>144</v>
      </c>
      <c r="K77">
        <f t="shared" si="17"/>
        <v>4442.1440000000002</v>
      </c>
      <c r="L77">
        <v>5</v>
      </c>
      <c r="M77" t="s">
        <v>16</v>
      </c>
    </row>
    <row r="78" spans="1:13" x14ac:dyDescent="0.25">
      <c r="A78" t="s">
        <v>1</v>
      </c>
      <c r="B78">
        <f t="shared" si="12"/>
        <v>1</v>
      </c>
      <c r="C78">
        <f t="shared" si="13"/>
        <v>14</v>
      </c>
      <c r="D78">
        <f t="shared" si="14"/>
        <v>17</v>
      </c>
      <c r="E78">
        <f t="shared" si="15"/>
        <v>159.99999999985448</v>
      </c>
      <c r="F78">
        <f t="shared" si="16"/>
        <v>4457.16</v>
      </c>
      <c r="G78">
        <v>1</v>
      </c>
      <c r="H78">
        <v>14</v>
      </c>
      <c r="I78">
        <v>22</v>
      </c>
      <c r="J78">
        <v>160</v>
      </c>
      <c r="K78">
        <f t="shared" si="17"/>
        <v>4462.16</v>
      </c>
      <c r="L78">
        <v>5</v>
      </c>
      <c r="M78" t="s">
        <v>16</v>
      </c>
    </row>
    <row r="79" spans="1:13" x14ac:dyDescent="0.25">
      <c r="A79" t="s">
        <v>1</v>
      </c>
      <c r="B79">
        <f t="shared" si="12"/>
        <v>1</v>
      </c>
      <c r="C79">
        <f t="shared" si="13"/>
        <v>14</v>
      </c>
      <c r="D79">
        <f t="shared" si="14"/>
        <v>34</v>
      </c>
      <c r="E79">
        <f t="shared" si="15"/>
        <v>458.99999999983265</v>
      </c>
      <c r="F79">
        <f t="shared" si="16"/>
        <v>4474.4589999999998</v>
      </c>
      <c r="G79">
        <v>1</v>
      </c>
      <c r="H79">
        <v>14</v>
      </c>
      <c r="I79">
        <v>39</v>
      </c>
      <c r="J79">
        <v>459</v>
      </c>
      <c r="K79">
        <f t="shared" si="17"/>
        <v>4479.4589999999998</v>
      </c>
      <c r="L79">
        <v>5</v>
      </c>
      <c r="M79" t="s">
        <v>16</v>
      </c>
    </row>
    <row r="80" spans="1:13" x14ac:dyDescent="0.25">
      <c r="A80" t="s">
        <v>1</v>
      </c>
      <c r="B80">
        <f t="shared" si="12"/>
        <v>1</v>
      </c>
      <c r="C80">
        <f t="shared" si="13"/>
        <v>14</v>
      </c>
      <c r="D80">
        <f t="shared" si="14"/>
        <v>53</v>
      </c>
      <c r="E80">
        <f t="shared" si="15"/>
        <v>742.00000000018917</v>
      </c>
      <c r="F80">
        <f t="shared" si="16"/>
        <v>4493.7420000000002</v>
      </c>
      <c r="G80">
        <v>1</v>
      </c>
      <c r="H80">
        <v>14</v>
      </c>
      <c r="I80">
        <v>58</v>
      </c>
      <c r="J80">
        <v>742</v>
      </c>
      <c r="K80">
        <f t="shared" si="17"/>
        <v>4498.7420000000002</v>
      </c>
      <c r="L80">
        <v>5</v>
      </c>
      <c r="M80" t="s">
        <v>16</v>
      </c>
    </row>
    <row r="81" spans="1:13" x14ac:dyDescent="0.25">
      <c r="A81" t="s">
        <v>1</v>
      </c>
      <c r="B81">
        <f t="shared" si="12"/>
        <v>1</v>
      </c>
      <c r="C81">
        <f t="shared" si="13"/>
        <v>15</v>
      </c>
      <c r="D81">
        <f t="shared" si="14"/>
        <v>12</v>
      </c>
      <c r="E81">
        <f t="shared" si="15"/>
        <v>16.999999999825377</v>
      </c>
      <c r="F81">
        <f t="shared" si="16"/>
        <v>4512.0169999999998</v>
      </c>
      <c r="G81">
        <v>1</v>
      </c>
      <c r="H81">
        <v>15</v>
      </c>
      <c r="I81">
        <v>17</v>
      </c>
      <c r="J81">
        <v>17</v>
      </c>
      <c r="K81">
        <f t="shared" si="17"/>
        <v>4517.0169999999998</v>
      </c>
      <c r="L81">
        <v>5</v>
      </c>
      <c r="M81" t="s">
        <v>16</v>
      </c>
    </row>
    <row r="82" spans="1:13" x14ac:dyDescent="0.25">
      <c r="A82" t="s">
        <v>1</v>
      </c>
      <c r="B82">
        <f t="shared" si="12"/>
        <v>1</v>
      </c>
      <c r="C82">
        <f t="shared" si="13"/>
        <v>15</v>
      </c>
      <c r="D82">
        <f t="shared" si="14"/>
        <v>31</v>
      </c>
      <c r="E82">
        <f t="shared" si="15"/>
        <v>301.99999999967986</v>
      </c>
      <c r="F82">
        <f t="shared" si="16"/>
        <v>4531.3019999999997</v>
      </c>
      <c r="G82">
        <v>1</v>
      </c>
      <c r="H82">
        <v>15</v>
      </c>
      <c r="I82">
        <v>36</v>
      </c>
      <c r="J82">
        <v>302</v>
      </c>
      <c r="K82">
        <f t="shared" si="17"/>
        <v>4536.3019999999997</v>
      </c>
      <c r="L82">
        <v>5</v>
      </c>
      <c r="M82" t="s">
        <v>16</v>
      </c>
    </row>
    <row r="83" spans="1:13" x14ac:dyDescent="0.25">
      <c r="A83" t="s">
        <v>1</v>
      </c>
      <c r="B83">
        <f t="shared" si="12"/>
        <v>1</v>
      </c>
      <c r="C83">
        <f t="shared" si="13"/>
        <v>15</v>
      </c>
      <c r="D83">
        <f t="shared" si="14"/>
        <v>53</v>
      </c>
      <c r="E83">
        <f t="shared" si="15"/>
        <v>411.00000000005821</v>
      </c>
      <c r="F83">
        <f t="shared" si="16"/>
        <v>4553.4110000000001</v>
      </c>
      <c r="G83">
        <v>1</v>
      </c>
      <c r="H83">
        <v>15</v>
      </c>
      <c r="I83">
        <v>58</v>
      </c>
      <c r="J83">
        <v>411</v>
      </c>
      <c r="K83">
        <f t="shared" si="17"/>
        <v>4558.4110000000001</v>
      </c>
      <c r="L83">
        <v>5</v>
      </c>
      <c r="M83" t="s">
        <v>16</v>
      </c>
    </row>
    <row r="84" spans="1:13" x14ac:dyDescent="0.25">
      <c r="A84" t="s">
        <v>1</v>
      </c>
      <c r="B84">
        <f t="shared" si="12"/>
        <v>1</v>
      </c>
      <c r="C84">
        <f t="shared" si="13"/>
        <v>16</v>
      </c>
      <c r="D84">
        <f t="shared" si="14"/>
        <v>15</v>
      </c>
      <c r="E84">
        <f t="shared" si="15"/>
        <v>447.00000000011642</v>
      </c>
      <c r="F84">
        <f t="shared" si="16"/>
        <v>4575.4470000000001</v>
      </c>
      <c r="G84">
        <v>1</v>
      </c>
      <c r="H84">
        <v>16</v>
      </c>
      <c r="I84">
        <v>20</v>
      </c>
      <c r="J84">
        <v>447</v>
      </c>
      <c r="K84">
        <f t="shared" si="17"/>
        <v>4580.4470000000001</v>
      </c>
      <c r="L84">
        <v>5</v>
      </c>
      <c r="M84" t="s">
        <v>16</v>
      </c>
    </row>
    <row r="85" spans="1:13" x14ac:dyDescent="0.25">
      <c r="A85" t="s">
        <v>1</v>
      </c>
      <c r="B85">
        <f t="shared" si="12"/>
        <v>1</v>
      </c>
      <c r="C85">
        <f t="shared" si="13"/>
        <v>16</v>
      </c>
      <c r="D85">
        <f t="shared" si="14"/>
        <v>32</v>
      </c>
      <c r="E85">
        <f t="shared" si="15"/>
        <v>222.99999999995634</v>
      </c>
      <c r="F85">
        <f t="shared" si="16"/>
        <v>4592.223</v>
      </c>
      <c r="G85">
        <v>1</v>
      </c>
      <c r="H85">
        <v>16</v>
      </c>
      <c r="I85">
        <v>37</v>
      </c>
      <c r="J85">
        <v>223</v>
      </c>
      <c r="K85">
        <f t="shared" si="17"/>
        <v>4597.223</v>
      </c>
      <c r="L85">
        <v>5</v>
      </c>
      <c r="M85" t="s">
        <v>16</v>
      </c>
    </row>
    <row r="86" spans="1:13" x14ac:dyDescent="0.25">
      <c r="A86" t="s">
        <v>1</v>
      </c>
      <c r="B86">
        <f t="shared" si="12"/>
        <v>1</v>
      </c>
      <c r="C86">
        <f t="shared" si="13"/>
        <v>16</v>
      </c>
      <c r="D86">
        <f t="shared" si="14"/>
        <v>52</v>
      </c>
      <c r="E86">
        <f t="shared" si="15"/>
        <v>43.999999999869033</v>
      </c>
      <c r="F86">
        <f t="shared" si="16"/>
        <v>4612.0439999999999</v>
      </c>
      <c r="G86">
        <v>1</v>
      </c>
      <c r="H86">
        <v>16</v>
      </c>
      <c r="I86">
        <v>57</v>
      </c>
      <c r="J86">
        <v>44</v>
      </c>
      <c r="K86">
        <f t="shared" si="17"/>
        <v>4617.0439999999999</v>
      </c>
      <c r="L86">
        <v>5</v>
      </c>
      <c r="M86" t="s">
        <v>16</v>
      </c>
    </row>
    <row r="87" spans="1:13" x14ac:dyDescent="0.25">
      <c r="A87" t="s">
        <v>1</v>
      </c>
      <c r="B87">
        <f t="shared" si="12"/>
        <v>1</v>
      </c>
      <c r="C87">
        <f t="shared" si="13"/>
        <v>17</v>
      </c>
      <c r="D87">
        <f t="shared" si="14"/>
        <v>12</v>
      </c>
      <c r="E87">
        <f t="shared" si="15"/>
        <v>237.00000000008004</v>
      </c>
      <c r="F87">
        <f t="shared" si="16"/>
        <v>4632.2370000000001</v>
      </c>
      <c r="G87">
        <v>1</v>
      </c>
      <c r="H87">
        <v>17</v>
      </c>
      <c r="I87">
        <v>17</v>
      </c>
      <c r="J87">
        <v>237</v>
      </c>
      <c r="K87">
        <f t="shared" si="17"/>
        <v>4637.2370000000001</v>
      </c>
      <c r="L87">
        <v>5</v>
      </c>
      <c r="M87" t="s">
        <v>16</v>
      </c>
    </row>
    <row r="88" spans="1:13" x14ac:dyDescent="0.25">
      <c r="A88" t="s">
        <v>1</v>
      </c>
      <c r="B88">
        <f t="shared" si="12"/>
        <v>1</v>
      </c>
      <c r="C88">
        <f t="shared" si="13"/>
        <v>17</v>
      </c>
      <c r="D88">
        <f t="shared" si="14"/>
        <v>46</v>
      </c>
      <c r="E88">
        <f t="shared" si="15"/>
        <v>497.00000000029831</v>
      </c>
      <c r="F88">
        <f t="shared" si="16"/>
        <v>4666.4970000000003</v>
      </c>
      <c r="G88">
        <v>1</v>
      </c>
      <c r="H88">
        <v>17</v>
      </c>
      <c r="I88">
        <v>51</v>
      </c>
      <c r="J88">
        <v>497</v>
      </c>
      <c r="K88">
        <f t="shared" si="17"/>
        <v>4671.4970000000003</v>
      </c>
      <c r="L88">
        <v>5</v>
      </c>
      <c r="M88" t="s">
        <v>16</v>
      </c>
    </row>
    <row r="89" spans="1:13" x14ac:dyDescent="0.25">
      <c r="A89" t="s">
        <v>1</v>
      </c>
      <c r="B89">
        <f t="shared" si="12"/>
        <v>1</v>
      </c>
      <c r="C89">
        <f t="shared" si="13"/>
        <v>18</v>
      </c>
      <c r="D89">
        <f t="shared" si="14"/>
        <v>2</v>
      </c>
      <c r="E89">
        <f t="shared" si="15"/>
        <v>824.9999999998181</v>
      </c>
      <c r="F89">
        <f t="shared" si="16"/>
        <v>4682.8249999999998</v>
      </c>
      <c r="G89">
        <v>1</v>
      </c>
      <c r="H89">
        <v>18</v>
      </c>
      <c r="I89">
        <v>7</v>
      </c>
      <c r="J89">
        <v>825</v>
      </c>
      <c r="K89">
        <f t="shared" si="17"/>
        <v>4687.8249999999998</v>
      </c>
      <c r="L89">
        <v>5</v>
      </c>
      <c r="M89" t="s">
        <v>16</v>
      </c>
    </row>
    <row r="90" spans="1:13" x14ac:dyDescent="0.25">
      <c r="A90" t="s">
        <v>1</v>
      </c>
      <c r="B90">
        <f t="shared" si="12"/>
        <v>1</v>
      </c>
      <c r="C90">
        <f t="shared" si="13"/>
        <v>18</v>
      </c>
      <c r="D90">
        <f t="shared" si="14"/>
        <v>32</v>
      </c>
      <c r="E90">
        <f t="shared" si="15"/>
        <v>876.00000000020373</v>
      </c>
      <c r="F90">
        <f t="shared" si="16"/>
        <v>4712.8760000000002</v>
      </c>
      <c r="G90">
        <v>1</v>
      </c>
      <c r="H90">
        <v>18</v>
      </c>
      <c r="I90">
        <v>37</v>
      </c>
      <c r="J90">
        <v>876</v>
      </c>
      <c r="K90">
        <f t="shared" si="17"/>
        <v>4717.8760000000002</v>
      </c>
      <c r="L90">
        <v>5</v>
      </c>
      <c r="M90" t="s">
        <v>16</v>
      </c>
    </row>
    <row r="91" spans="1:13" x14ac:dyDescent="0.25">
      <c r="A91" t="s">
        <v>1</v>
      </c>
      <c r="B91">
        <f t="shared" si="12"/>
        <v>1</v>
      </c>
      <c r="C91">
        <f t="shared" si="13"/>
        <v>18</v>
      </c>
      <c r="D91">
        <f t="shared" si="14"/>
        <v>50</v>
      </c>
      <c r="E91">
        <f t="shared" si="15"/>
        <v>886.00000000042201</v>
      </c>
      <c r="F91">
        <f t="shared" si="16"/>
        <v>4730.8860000000004</v>
      </c>
      <c r="G91">
        <v>1</v>
      </c>
      <c r="H91">
        <v>18</v>
      </c>
      <c r="I91">
        <v>55</v>
      </c>
      <c r="J91">
        <v>886</v>
      </c>
      <c r="K91">
        <f t="shared" si="17"/>
        <v>4735.8860000000004</v>
      </c>
      <c r="L91">
        <v>5</v>
      </c>
      <c r="M91" t="s">
        <v>16</v>
      </c>
    </row>
    <row r="92" spans="1:13" x14ac:dyDescent="0.25">
      <c r="A92" t="s">
        <v>1</v>
      </c>
      <c r="B92">
        <f t="shared" si="12"/>
        <v>1</v>
      </c>
      <c r="C92">
        <f t="shared" si="13"/>
        <v>19</v>
      </c>
      <c r="D92">
        <f t="shared" si="14"/>
        <v>6</v>
      </c>
      <c r="E92">
        <f t="shared" si="15"/>
        <v>738.00000000028376</v>
      </c>
      <c r="F92">
        <f t="shared" si="16"/>
        <v>4746.7380000000003</v>
      </c>
      <c r="G92">
        <v>1</v>
      </c>
      <c r="H92">
        <v>19</v>
      </c>
      <c r="I92">
        <v>11</v>
      </c>
      <c r="J92">
        <v>738</v>
      </c>
      <c r="K92">
        <f t="shared" si="17"/>
        <v>4751.7380000000003</v>
      </c>
      <c r="L92">
        <v>5</v>
      </c>
      <c r="M92" t="s">
        <v>16</v>
      </c>
    </row>
    <row r="93" spans="1:13" x14ac:dyDescent="0.25">
      <c r="A93" t="s">
        <v>1</v>
      </c>
      <c r="B93">
        <f t="shared" si="12"/>
        <v>1</v>
      </c>
      <c r="C93">
        <f t="shared" si="13"/>
        <v>19</v>
      </c>
      <c r="D93">
        <f t="shared" si="14"/>
        <v>6</v>
      </c>
      <c r="E93">
        <f t="shared" si="15"/>
        <v>738.00000000028376</v>
      </c>
      <c r="F93">
        <f t="shared" si="16"/>
        <v>4746.7380000000003</v>
      </c>
      <c r="G93">
        <v>1</v>
      </c>
      <c r="H93">
        <v>19</v>
      </c>
      <c r="I93">
        <v>11</v>
      </c>
      <c r="J93">
        <v>738</v>
      </c>
      <c r="K93">
        <f t="shared" si="17"/>
        <v>4751.7380000000003</v>
      </c>
      <c r="L93">
        <v>5</v>
      </c>
      <c r="M93" t="s">
        <v>16</v>
      </c>
    </row>
    <row r="94" spans="1:13" x14ac:dyDescent="0.25">
      <c r="A94" t="s">
        <v>1</v>
      </c>
      <c r="B94">
        <f t="shared" si="12"/>
        <v>1</v>
      </c>
      <c r="C94">
        <f t="shared" si="13"/>
        <v>19</v>
      </c>
      <c r="D94">
        <f t="shared" si="14"/>
        <v>24</v>
      </c>
      <c r="E94">
        <f t="shared" si="15"/>
        <v>699.9999999998181</v>
      </c>
      <c r="F94">
        <f t="shared" si="16"/>
        <v>4764.7</v>
      </c>
      <c r="G94">
        <v>1</v>
      </c>
      <c r="H94">
        <v>19</v>
      </c>
      <c r="I94">
        <v>29</v>
      </c>
      <c r="J94">
        <v>700</v>
      </c>
      <c r="K94">
        <f t="shared" si="17"/>
        <v>4769.7</v>
      </c>
      <c r="L94">
        <v>5</v>
      </c>
      <c r="M94" t="s">
        <v>16</v>
      </c>
    </row>
    <row r="95" spans="1:13" x14ac:dyDescent="0.25">
      <c r="A95" t="s">
        <v>1</v>
      </c>
      <c r="B95">
        <f t="shared" si="12"/>
        <v>1</v>
      </c>
      <c r="C95">
        <f t="shared" si="13"/>
        <v>19</v>
      </c>
      <c r="D95">
        <f t="shared" si="14"/>
        <v>42</v>
      </c>
      <c r="E95">
        <f t="shared" si="15"/>
        <v>296.00000000027649</v>
      </c>
      <c r="F95">
        <f t="shared" si="16"/>
        <v>4782.2960000000003</v>
      </c>
      <c r="G95">
        <v>1</v>
      </c>
      <c r="H95">
        <v>19</v>
      </c>
      <c r="I95">
        <v>47</v>
      </c>
      <c r="J95">
        <v>296</v>
      </c>
      <c r="K95">
        <f t="shared" si="17"/>
        <v>4787.2960000000003</v>
      </c>
      <c r="L95">
        <v>5</v>
      </c>
      <c r="M95" t="s">
        <v>16</v>
      </c>
    </row>
    <row r="96" spans="1:13" x14ac:dyDescent="0.25">
      <c r="A96" t="s">
        <v>1</v>
      </c>
      <c r="B96">
        <f t="shared" si="12"/>
        <v>1</v>
      </c>
      <c r="C96">
        <f t="shared" si="13"/>
        <v>19</v>
      </c>
      <c r="D96">
        <f t="shared" si="14"/>
        <v>59</v>
      </c>
      <c r="E96">
        <f t="shared" si="15"/>
        <v>57.999999999992724</v>
      </c>
      <c r="F96">
        <f t="shared" si="16"/>
        <v>4799.058</v>
      </c>
      <c r="G96">
        <v>1</v>
      </c>
      <c r="H96">
        <v>20</v>
      </c>
      <c r="I96">
        <v>4</v>
      </c>
      <c r="J96">
        <v>58</v>
      </c>
      <c r="K96">
        <f t="shared" si="17"/>
        <v>4804.058</v>
      </c>
      <c r="L96">
        <v>5</v>
      </c>
      <c r="M96" t="s">
        <v>16</v>
      </c>
    </row>
    <row r="97" spans="1:13" x14ac:dyDescent="0.25">
      <c r="A97" t="s">
        <v>1</v>
      </c>
      <c r="B97">
        <f t="shared" si="12"/>
        <v>1</v>
      </c>
      <c r="C97">
        <f t="shared" si="13"/>
        <v>20</v>
      </c>
      <c r="D97">
        <f t="shared" si="14"/>
        <v>16</v>
      </c>
      <c r="E97">
        <f t="shared" si="15"/>
        <v>443.000000000211</v>
      </c>
      <c r="F97">
        <f t="shared" si="16"/>
        <v>4816.4430000000002</v>
      </c>
      <c r="G97">
        <v>1</v>
      </c>
      <c r="H97">
        <v>20</v>
      </c>
      <c r="I97">
        <v>21</v>
      </c>
      <c r="J97">
        <v>443</v>
      </c>
      <c r="K97">
        <f t="shared" si="17"/>
        <v>4821.4430000000002</v>
      </c>
      <c r="L97">
        <v>5</v>
      </c>
      <c r="M97" t="s">
        <v>16</v>
      </c>
    </row>
    <row r="98" spans="1:13" x14ac:dyDescent="0.25">
      <c r="A98" t="s">
        <v>1</v>
      </c>
      <c r="B98">
        <f t="shared" si="12"/>
        <v>1</v>
      </c>
      <c r="C98">
        <f t="shared" si="13"/>
        <v>20</v>
      </c>
      <c r="D98">
        <f t="shared" si="14"/>
        <v>34</v>
      </c>
      <c r="E98">
        <f t="shared" si="15"/>
        <v>463.99999999994179</v>
      </c>
      <c r="F98">
        <f t="shared" si="16"/>
        <v>4834.4639999999999</v>
      </c>
      <c r="G98">
        <v>1</v>
      </c>
      <c r="H98">
        <v>20</v>
      </c>
      <c r="I98">
        <v>39</v>
      </c>
      <c r="J98">
        <v>464</v>
      </c>
      <c r="K98">
        <f t="shared" si="17"/>
        <v>4839.4639999999999</v>
      </c>
      <c r="L98">
        <v>5</v>
      </c>
      <c r="M98" t="s">
        <v>16</v>
      </c>
    </row>
    <row r="99" spans="1:13" x14ac:dyDescent="0.25">
      <c r="A99" t="s">
        <v>1</v>
      </c>
      <c r="B99">
        <f t="shared" si="12"/>
        <v>1</v>
      </c>
      <c r="C99">
        <f t="shared" si="13"/>
        <v>20</v>
      </c>
      <c r="D99">
        <f t="shared" si="14"/>
        <v>53</v>
      </c>
      <c r="E99">
        <f t="shared" si="15"/>
        <v>519.00000000023283</v>
      </c>
      <c r="F99">
        <f t="shared" si="16"/>
        <v>4853.5190000000002</v>
      </c>
      <c r="G99">
        <v>1</v>
      </c>
      <c r="H99">
        <v>20</v>
      </c>
      <c r="I99">
        <v>58</v>
      </c>
      <c r="J99">
        <v>519</v>
      </c>
      <c r="K99">
        <f t="shared" si="17"/>
        <v>4858.5190000000002</v>
      </c>
      <c r="L99">
        <v>5</v>
      </c>
      <c r="M99" t="s">
        <v>16</v>
      </c>
    </row>
    <row r="100" spans="1:13" x14ac:dyDescent="0.25">
      <c r="A100" t="s">
        <v>1</v>
      </c>
      <c r="B100">
        <f t="shared" si="12"/>
        <v>1</v>
      </c>
      <c r="C100">
        <f t="shared" si="13"/>
        <v>21</v>
      </c>
      <c r="D100">
        <f t="shared" si="14"/>
        <v>11</v>
      </c>
      <c r="E100">
        <f t="shared" si="15"/>
        <v>331.00000000013097</v>
      </c>
      <c r="F100">
        <f t="shared" si="16"/>
        <v>4871.3310000000001</v>
      </c>
      <c r="G100">
        <v>1</v>
      </c>
      <c r="H100">
        <v>21</v>
      </c>
      <c r="I100">
        <v>16</v>
      </c>
      <c r="J100">
        <v>331</v>
      </c>
      <c r="K100">
        <f t="shared" si="17"/>
        <v>4876.3310000000001</v>
      </c>
      <c r="L100">
        <v>5</v>
      </c>
      <c r="M100" t="s">
        <v>16</v>
      </c>
    </row>
    <row r="101" spans="1:13" x14ac:dyDescent="0.25">
      <c r="A101" t="s">
        <v>1</v>
      </c>
      <c r="B101">
        <f t="shared" si="12"/>
        <v>1</v>
      </c>
      <c r="C101">
        <f t="shared" si="13"/>
        <v>21</v>
      </c>
      <c r="D101">
        <f t="shared" si="14"/>
        <v>30</v>
      </c>
      <c r="E101">
        <f t="shared" si="15"/>
        <v>524.9999999996362</v>
      </c>
      <c r="F101">
        <f t="shared" si="16"/>
        <v>4890.5249999999996</v>
      </c>
      <c r="G101">
        <v>1</v>
      </c>
      <c r="H101">
        <v>21</v>
      </c>
      <c r="I101">
        <v>35</v>
      </c>
      <c r="J101">
        <v>525</v>
      </c>
      <c r="K101">
        <f t="shared" si="17"/>
        <v>4895.5249999999996</v>
      </c>
      <c r="L101">
        <v>5</v>
      </c>
      <c r="M101" t="s">
        <v>16</v>
      </c>
    </row>
    <row r="102" spans="1:13" x14ac:dyDescent="0.25">
      <c r="A102" t="s">
        <v>1</v>
      </c>
      <c r="B102">
        <f t="shared" si="12"/>
        <v>1</v>
      </c>
      <c r="C102">
        <f t="shared" si="13"/>
        <v>21</v>
      </c>
      <c r="D102">
        <f t="shared" si="14"/>
        <v>50</v>
      </c>
      <c r="E102">
        <f t="shared" si="15"/>
        <v>122.00000000029831</v>
      </c>
      <c r="F102">
        <f t="shared" si="16"/>
        <v>4910.1220000000003</v>
      </c>
      <c r="G102">
        <v>1</v>
      </c>
      <c r="H102">
        <v>21</v>
      </c>
      <c r="I102">
        <v>55</v>
      </c>
      <c r="J102">
        <v>122</v>
      </c>
      <c r="K102">
        <f t="shared" si="17"/>
        <v>4915.1220000000003</v>
      </c>
      <c r="L102">
        <v>5</v>
      </c>
      <c r="M102" t="s">
        <v>16</v>
      </c>
    </row>
    <row r="103" spans="1:13" x14ac:dyDescent="0.25">
      <c r="A103" t="s">
        <v>0</v>
      </c>
      <c r="B103">
        <v>1</v>
      </c>
      <c r="C103">
        <v>23</v>
      </c>
      <c r="D103">
        <v>21</v>
      </c>
      <c r="E103">
        <v>854</v>
      </c>
      <c r="F103">
        <f t="shared" ref="F103:F124" si="18">B103*60*60 +C103*60 + D103 + E103*0.001</f>
        <v>5001.8540000000003</v>
      </c>
      <c r="G103">
        <f t="shared" ref="G103:G124" si="19">_xlfn.FLOOR.MATH(K103/3600)</f>
        <v>1</v>
      </c>
      <c r="H103">
        <f t="shared" ref="H103:H124" si="20">_xlfn.FLOOR.MATH((K103-3600*G103)/60)</f>
        <v>23</v>
      </c>
      <c r="I103">
        <f t="shared" ref="I103:I124" si="21">_xlfn.FLOOR.MATH(K103 - 3600*G103 - 60*H103)</f>
        <v>23</v>
      </c>
      <c r="J103">
        <f t="shared" ref="J103:J124" si="22">(K103-3600*G103 - 60*H103 -I103)*1000</f>
        <v>854.00000000026921</v>
      </c>
      <c r="K103">
        <f t="shared" ref="K103:K124" si="23">F103+L103</f>
        <v>5003.8540000000003</v>
      </c>
      <c r="L103">
        <v>2</v>
      </c>
      <c r="M103" t="s">
        <v>17</v>
      </c>
    </row>
    <row r="104" spans="1:13" x14ac:dyDescent="0.25">
      <c r="A104" t="s">
        <v>0</v>
      </c>
      <c r="B104">
        <v>1</v>
      </c>
      <c r="C104">
        <v>23</v>
      </c>
      <c r="D104">
        <v>38</v>
      </c>
      <c r="E104">
        <v>103</v>
      </c>
      <c r="F104">
        <f t="shared" si="18"/>
        <v>5018.1030000000001</v>
      </c>
      <c r="G104">
        <f t="shared" si="19"/>
        <v>1</v>
      </c>
      <c r="H104">
        <f t="shared" si="20"/>
        <v>23</v>
      </c>
      <c r="I104">
        <f t="shared" si="21"/>
        <v>40</v>
      </c>
      <c r="J104">
        <f t="shared" si="22"/>
        <v>103.00000000006548</v>
      </c>
      <c r="K104">
        <f t="shared" si="23"/>
        <v>5020.1030000000001</v>
      </c>
      <c r="L104">
        <v>2</v>
      </c>
      <c r="M104" t="s">
        <v>17</v>
      </c>
    </row>
    <row r="105" spans="1:13" x14ac:dyDescent="0.25">
      <c r="A105" t="s">
        <v>0</v>
      </c>
      <c r="B105">
        <v>1</v>
      </c>
      <c r="C105">
        <v>23</v>
      </c>
      <c r="D105">
        <v>55</v>
      </c>
      <c r="E105">
        <v>74</v>
      </c>
      <c r="F105">
        <f t="shared" si="18"/>
        <v>5035.0739999999996</v>
      </c>
      <c r="G105">
        <f t="shared" si="19"/>
        <v>1</v>
      </c>
      <c r="H105">
        <f t="shared" si="20"/>
        <v>23</v>
      </c>
      <c r="I105">
        <f t="shared" si="21"/>
        <v>57</v>
      </c>
      <c r="J105">
        <f t="shared" si="22"/>
        <v>73.999999999614374</v>
      </c>
      <c r="K105">
        <f t="shared" si="23"/>
        <v>5037.0739999999996</v>
      </c>
      <c r="L105">
        <v>2</v>
      </c>
      <c r="M105" t="s">
        <v>17</v>
      </c>
    </row>
    <row r="106" spans="1:13" x14ac:dyDescent="0.25">
      <c r="A106" t="s">
        <v>0</v>
      </c>
      <c r="B106">
        <v>1</v>
      </c>
      <c r="C106">
        <v>24</v>
      </c>
      <c r="D106">
        <v>9</v>
      </c>
      <c r="E106">
        <v>782</v>
      </c>
      <c r="F106">
        <f t="shared" si="18"/>
        <v>5049.7820000000002</v>
      </c>
      <c r="G106">
        <f t="shared" si="19"/>
        <v>1</v>
      </c>
      <c r="H106">
        <f t="shared" si="20"/>
        <v>24</v>
      </c>
      <c r="I106">
        <f t="shared" si="21"/>
        <v>11</v>
      </c>
      <c r="J106">
        <f t="shared" si="22"/>
        <v>782.0000000001528</v>
      </c>
      <c r="K106">
        <f t="shared" si="23"/>
        <v>5051.7820000000002</v>
      </c>
      <c r="L106">
        <v>2</v>
      </c>
      <c r="M106" t="s">
        <v>17</v>
      </c>
    </row>
    <row r="107" spans="1:13" x14ac:dyDescent="0.25">
      <c r="A107" t="s">
        <v>0</v>
      </c>
      <c r="B107">
        <v>1</v>
      </c>
      <c r="C107">
        <v>24</v>
      </c>
      <c r="D107">
        <v>40</v>
      </c>
      <c r="E107">
        <v>793</v>
      </c>
      <c r="F107">
        <f t="shared" si="18"/>
        <v>5080.7929999999997</v>
      </c>
      <c r="G107">
        <f t="shared" si="19"/>
        <v>1</v>
      </c>
      <c r="H107">
        <f t="shared" si="20"/>
        <v>24</v>
      </c>
      <c r="I107">
        <f t="shared" si="21"/>
        <v>42</v>
      </c>
      <c r="J107">
        <f t="shared" si="22"/>
        <v>792.99999999966531</v>
      </c>
      <c r="K107">
        <f t="shared" si="23"/>
        <v>5082.7929999999997</v>
      </c>
      <c r="L107">
        <v>2</v>
      </c>
      <c r="M107" t="s">
        <v>17</v>
      </c>
    </row>
    <row r="108" spans="1:13" x14ac:dyDescent="0.25">
      <c r="A108" t="s">
        <v>0</v>
      </c>
      <c r="B108">
        <v>1</v>
      </c>
      <c r="C108">
        <v>24</v>
      </c>
      <c r="D108">
        <v>59</v>
      </c>
      <c r="E108">
        <v>57</v>
      </c>
      <c r="F108">
        <f t="shared" si="18"/>
        <v>5099.0569999999998</v>
      </c>
      <c r="G108">
        <f t="shared" si="19"/>
        <v>1</v>
      </c>
      <c r="H108">
        <f t="shared" si="20"/>
        <v>25</v>
      </c>
      <c r="I108">
        <f t="shared" si="21"/>
        <v>1</v>
      </c>
      <c r="J108">
        <f t="shared" si="22"/>
        <v>56.999999999788997</v>
      </c>
      <c r="K108">
        <f t="shared" si="23"/>
        <v>5101.0569999999998</v>
      </c>
      <c r="L108">
        <v>2</v>
      </c>
      <c r="M108" t="s">
        <v>17</v>
      </c>
    </row>
    <row r="109" spans="1:13" x14ac:dyDescent="0.25">
      <c r="A109" t="s">
        <v>0</v>
      </c>
      <c r="B109">
        <v>1</v>
      </c>
      <c r="C109">
        <v>25</v>
      </c>
      <c r="D109">
        <v>20</v>
      </c>
      <c r="E109">
        <v>576</v>
      </c>
      <c r="F109">
        <f t="shared" si="18"/>
        <v>5120.576</v>
      </c>
      <c r="G109">
        <f t="shared" si="19"/>
        <v>1</v>
      </c>
      <c r="H109">
        <f t="shared" si="20"/>
        <v>25</v>
      </c>
      <c r="I109">
        <f t="shared" si="21"/>
        <v>22</v>
      </c>
      <c r="J109">
        <f t="shared" si="22"/>
        <v>576.00000000002183</v>
      </c>
      <c r="K109">
        <f t="shared" si="23"/>
        <v>5122.576</v>
      </c>
      <c r="L109">
        <v>2</v>
      </c>
      <c r="M109" t="s">
        <v>17</v>
      </c>
    </row>
    <row r="110" spans="1:13" x14ac:dyDescent="0.25">
      <c r="A110" t="s">
        <v>0</v>
      </c>
      <c r="B110">
        <v>1</v>
      </c>
      <c r="C110">
        <v>25</v>
      </c>
      <c r="D110">
        <v>39</v>
      </c>
      <c r="E110">
        <v>113</v>
      </c>
      <c r="F110">
        <f t="shared" si="18"/>
        <v>5139.1130000000003</v>
      </c>
      <c r="G110">
        <f t="shared" si="19"/>
        <v>1</v>
      </c>
      <c r="H110">
        <f t="shared" si="20"/>
        <v>25</v>
      </c>
      <c r="I110">
        <f t="shared" si="21"/>
        <v>41</v>
      </c>
      <c r="J110">
        <f t="shared" si="22"/>
        <v>113.00000000028376</v>
      </c>
      <c r="K110">
        <f t="shared" si="23"/>
        <v>5141.1130000000003</v>
      </c>
      <c r="L110">
        <v>2</v>
      </c>
      <c r="M110" t="s">
        <v>17</v>
      </c>
    </row>
    <row r="111" spans="1:13" x14ac:dyDescent="0.25">
      <c r="A111" t="s">
        <v>0</v>
      </c>
      <c r="B111">
        <v>1</v>
      </c>
      <c r="C111">
        <v>25</v>
      </c>
      <c r="D111">
        <v>58</v>
      </c>
      <c r="E111">
        <v>655</v>
      </c>
      <c r="F111">
        <f t="shared" si="18"/>
        <v>5158.6549999999997</v>
      </c>
      <c r="G111">
        <f t="shared" si="19"/>
        <v>1</v>
      </c>
      <c r="H111">
        <f t="shared" si="20"/>
        <v>26</v>
      </c>
      <c r="I111">
        <f t="shared" si="21"/>
        <v>0</v>
      </c>
      <c r="J111">
        <f t="shared" si="22"/>
        <v>654.99999999974534</v>
      </c>
      <c r="K111">
        <f t="shared" si="23"/>
        <v>5160.6549999999997</v>
      </c>
      <c r="L111">
        <v>2</v>
      </c>
      <c r="M111" t="s">
        <v>17</v>
      </c>
    </row>
    <row r="112" spans="1:13" x14ac:dyDescent="0.25">
      <c r="A112" t="s">
        <v>0</v>
      </c>
      <c r="B112">
        <v>1</v>
      </c>
      <c r="C112">
        <v>26</v>
      </c>
      <c r="D112">
        <v>17</v>
      </c>
      <c r="E112">
        <v>642</v>
      </c>
      <c r="F112">
        <f t="shared" si="18"/>
        <v>5177.6419999999998</v>
      </c>
      <c r="G112">
        <f t="shared" si="19"/>
        <v>1</v>
      </c>
      <c r="H112">
        <f t="shared" si="20"/>
        <v>26</v>
      </c>
      <c r="I112">
        <f t="shared" si="21"/>
        <v>19</v>
      </c>
      <c r="J112">
        <f t="shared" si="22"/>
        <v>641.99999999982538</v>
      </c>
      <c r="K112">
        <f t="shared" si="23"/>
        <v>5179.6419999999998</v>
      </c>
      <c r="L112">
        <v>2</v>
      </c>
      <c r="M112" t="s">
        <v>17</v>
      </c>
    </row>
    <row r="113" spans="1:13" x14ac:dyDescent="0.25">
      <c r="A113" t="s">
        <v>0</v>
      </c>
      <c r="B113">
        <v>1</v>
      </c>
      <c r="C113">
        <v>26</v>
      </c>
      <c r="D113">
        <v>36</v>
      </c>
      <c r="E113">
        <v>46</v>
      </c>
      <c r="F113">
        <f t="shared" si="18"/>
        <v>5196.0460000000003</v>
      </c>
      <c r="G113">
        <f t="shared" si="19"/>
        <v>1</v>
      </c>
      <c r="H113">
        <f t="shared" si="20"/>
        <v>26</v>
      </c>
      <c r="I113">
        <f t="shared" si="21"/>
        <v>38</v>
      </c>
      <c r="J113">
        <f t="shared" si="22"/>
        <v>46.000000000276486</v>
      </c>
      <c r="K113">
        <f t="shared" si="23"/>
        <v>5198.0460000000003</v>
      </c>
      <c r="L113">
        <v>2</v>
      </c>
      <c r="M113" t="s">
        <v>17</v>
      </c>
    </row>
    <row r="114" spans="1:13" x14ac:dyDescent="0.25">
      <c r="A114" t="s">
        <v>0</v>
      </c>
      <c r="B114">
        <v>1</v>
      </c>
      <c r="C114">
        <v>26</v>
      </c>
      <c r="D114">
        <v>52</v>
      </c>
      <c r="E114">
        <v>242</v>
      </c>
      <c r="F114">
        <f t="shared" si="18"/>
        <v>5212.2420000000002</v>
      </c>
      <c r="G114">
        <f t="shared" si="19"/>
        <v>1</v>
      </c>
      <c r="H114">
        <f t="shared" si="20"/>
        <v>26</v>
      </c>
      <c r="I114">
        <f t="shared" si="21"/>
        <v>54</v>
      </c>
      <c r="J114">
        <f t="shared" si="22"/>
        <v>242.00000000018917</v>
      </c>
      <c r="K114">
        <f t="shared" si="23"/>
        <v>5214.2420000000002</v>
      </c>
      <c r="L114">
        <v>2</v>
      </c>
      <c r="M114" t="s">
        <v>17</v>
      </c>
    </row>
    <row r="115" spans="1:13" x14ac:dyDescent="0.25">
      <c r="A115" t="s">
        <v>0</v>
      </c>
      <c r="B115">
        <v>1</v>
      </c>
      <c r="C115">
        <v>27</v>
      </c>
      <c r="D115">
        <v>10</v>
      </c>
      <c r="E115">
        <v>190</v>
      </c>
      <c r="F115">
        <f t="shared" si="18"/>
        <v>5230.1899999999996</v>
      </c>
      <c r="G115">
        <f t="shared" si="19"/>
        <v>1</v>
      </c>
      <c r="H115">
        <f t="shared" si="20"/>
        <v>27</v>
      </c>
      <c r="I115">
        <f t="shared" si="21"/>
        <v>12</v>
      </c>
      <c r="J115">
        <f t="shared" si="22"/>
        <v>189.99999999959982</v>
      </c>
      <c r="K115">
        <f t="shared" si="23"/>
        <v>5232.1899999999996</v>
      </c>
      <c r="L115">
        <v>2</v>
      </c>
      <c r="M115" t="s">
        <v>17</v>
      </c>
    </row>
    <row r="116" spans="1:13" x14ac:dyDescent="0.25">
      <c r="A116" t="s">
        <v>0</v>
      </c>
      <c r="B116">
        <v>1</v>
      </c>
      <c r="C116">
        <v>27</v>
      </c>
      <c r="D116">
        <v>27</v>
      </c>
      <c r="E116">
        <v>864</v>
      </c>
      <c r="F116">
        <f t="shared" si="18"/>
        <v>5247.8639999999996</v>
      </c>
      <c r="G116">
        <f t="shared" si="19"/>
        <v>1</v>
      </c>
      <c r="H116">
        <f t="shared" si="20"/>
        <v>27</v>
      </c>
      <c r="I116">
        <f t="shared" si="21"/>
        <v>29</v>
      </c>
      <c r="J116">
        <f t="shared" si="22"/>
        <v>863.99999999957799</v>
      </c>
      <c r="K116">
        <f t="shared" si="23"/>
        <v>5249.8639999999996</v>
      </c>
      <c r="L116">
        <v>2</v>
      </c>
      <c r="M116" t="s">
        <v>17</v>
      </c>
    </row>
    <row r="117" spans="1:13" x14ac:dyDescent="0.25">
      <c r="A117" t="s">
        <v>0</v>
      </c>
      <c r="B117">
        <v>1</v>
      </c>
      <c r="C117">
        <v>27</v>
      </c>
      <c r="D117">
        <v>46</v>
      </c>
      <c r="E117">
        <v>874</v>
      </c>
      <c r="F117">
        <f t="shared" si="18"/>
        <v>5266.8739999999998</v>
      </c>
      <c r="G117">
        <f t="shared" si="19"/>
        <v>1</v>
      </c>
      <c r="H117">
        <f t="shared" si="20"/>
        <v>27</v>
      </c>
      <c r="I117">
        <f t="shared" si="21"/>
        <v>48</v>
      </c>
      <c r="J117">
        <f t="shared" si="22"/>
        <v>873.99999999979627</v>
      </c>
      <c r="K117">
        <f t="shared" si="23"/>
        <v>5268.8739999999998</v>
      </c>
      <c r="L117">
        <v>2</v>
      </c>
      <c r="M117" t="s">
        <v>17</v>
      </c>
    </row>
    <row r="118" spans="1:13" x14ac:dyDescent="0.25">
      <c r="A118" t="s">
        <v>0</v>
      </c>
      <c r="B118">
        <v>1</v>
      </c>
      <c r="C118">
        <v>28</v>
      </c>
      <c r="D118">
        <v>6</v>
      </c>
      <c r="E118">
        <v>828</v>
      </c>
      <c r="F118">
        <f t="shared" si="18"/>
        <v>5286.8280000000004</v>
      </c>
      <c r="G118">
        <f t="shared" si="19"/>
        <v>1</v>
      </c>
      <c r="H118">
        <f t="shared" si="20"/>
        <v>28</v>
      </c>
      <c r="I118">
        <f t="shared" si="21"/>
        <v>8</v>
      </c>
      <c r="J118">
        <f t="shared" si="22"/>
        <v>828.00000000042928</v>
      </c>
      <c r="K118">
        <f t="shared" si="23"/>
        <v>5288.8280000000004</v>
      </c>
      <c r="L118">
        <v>2</v>
      </c>
      <c r="M118" t="s">
        <v>17</v>
      </c>
    </row>
    <row r="119" spans="1:13" x14ac:dyDescent="0.25">
      <c r="A119" t="s">
        <v>0</v>
      </c>
      <c r="B119">
        <v>1</v>
      </c>
      <c r="C119">
        <v>28</v>
      </c>
      <c r="D119">
        <v>25</v>
      </c>
      <c r="E119">
        <v>51</v>
      </c>
      <c r="F119">
        <f t="shared" si="18"/>
        <v>5305.0510000000004</v>
      </c>
      <c r="G119">
        <f t="shared" si="19"/>
        <v>1</v>
      </c>
      <c r="H119">
        <f t="shared" si="20"/>
        <v>28</v>
      </c>
      <c r="I119">
        <f t="shared" si="21"/>
        <v>27</v>
      </c>
      <c r="J119">
        <f t="shared" si="22"/>
        <v>51.000000000385626</v>
      </c>
      <c r="K119">
        <f t="shared" si="23"/>
        <v>5307.0510000000004</v>
      </c>
      <c r="L119">
        <v>2</v>
      </c>
      <c r="M119" t="s">
        <v>17</v>
      </c>
    </row>
    <row r="120" spans="1:13" x14ac:dyDescent="0.25">
      <c r="A120" t="s">
        <v>0</v>
      </c>
      <c r="B120">
        <v>1</v>
      </c>
      <c r="C120">
        <v>28</v>
      </c>
      <c r="D120">
        <v>56</v>
      </c>
      <c r="E120">
        <v>701</v>
      </c>
      <c r="F120">
        <f t="shared" si="18"/>
        <v>5336.701</v>
      </c>
      <c r="G120">
        <f t="shared" si="19"/>
        <v>1</v>
      </c>
      <c r="H120">
        <f t="shared" si="20"/>
        <v>28</v>
      </c>
      <c r="I120">
        <f t="shared" si="21"/>
        <v>58</v>
      </c>
      <c r="J120">
        <f t="shared" si="22"/>
        <v>701.00000000002183</v>
      </c>
      <c r="K120">
        <f t="shared" si="23"/>
        <v>5338.701</v>
      </c>
      <c r="L120">
        <v>2</v>
      </c>
      <c r="M120" t="s">
        <v>17</v>
      </c>
    </row>
    <row r="121" spans="1:13" x14ac:dyDescent="0.25">
      <c r="A121" t="s">
        <v>0</v>
      </c>
      <c r="B121">
        <v>1</v>
      </c>
      <c r="C121">
        <v>29</v>
      </c>
      <c r="D121">
        <v>37</v>
      </c>
      <c r="E121">
        <v>614</v>
      </c>
      <c r="F121">
        <f t="shared" si="18"/>
        <v>5377.6139999999996</v>
      </c>
      <c r="G121">
        <f t="shared" si="19"/>
        <v>1</v>
      </c>
      <c r="H121">
        <f t="shared" si="20"/>
        <v>29</v>
      </c>
      <c r="I121">
        <f t="shared" si="21"/>
        <v>39</v>
      </c>
      <c r="J121">
        <f t="shared" si="22"/>
        <v>613.99999999957799</v>
      </c>
      <c r="K121">
        <f t="shared" si="23"/>
        <v>5379.6139999999996</v>
      </c>
      <c r="L121">
        <v>2</v>
      </c>
      <c r="M121" t="s">
        <v>17</v>
      </c>
    </row>
    <row r="122" spans="1:13" x14ac:dyDescent="0.25">
      <c r="A122" t="s">
        <v>0</v>
      </c>
      <c r="B122">
        <v>1</v>
      </c>
      <c r="C122">
        <v>29</v>
      </c>
      <c r="D122">
        <v>59</v>
      </c>
      <c r="E122">
        <v>612</v>
      </c>
      <c r="F122">
        <f t="shared" si="18"/>
        <v>5399.6120000000001</v>
      </c>
      <c r="G122">
        <f t="shared" si="19"/>
        <v>1</v>
      </c>
      <c r="H122">
        <f t="shared" si="20"/>
        <v>30</v>
      </c>
      <c r="I122">
        <f t="shared" si="21"/>
        <v>1</v>
      </c>
      <c r="J122">
        <f t="shared" si="22"/>
        <v>612.00000000008004</v>
      </c>
      <c r="K122">
        <f t="shared" si="23"/>
        <v>5401.6120000000001</v>
      </c>
      <c r="L122">
        <v>2</v>
      </c>
      <c r="M122" t="s">
        <v>17</v>
      </c>
    </row>
    <row r="123" spans="1:13" x14ac:dyDescent="0.25">
      <c r="A123" t="s">
        <v>0</v>
      </c>
      <c r="B123">
        <v>1</v>
      </c>
      <c r="C123">
        <v>30</v>
      </c>
      <c r="D123">
        <v>21</v>
      </c>
      <c r="E123">
        <v>205</v>
      </c>
      <c r="F123">
        <f t="shared" si="18"/>
        <v>5421.2049999999999</v>
      </c>
      <c r="G123">
        <f t="shared" si="19"/>
        <v>1</v>
      </c>
      <c r="H123">
        <f t="shared" si="20"/>
        <v>30</v>
      </c>
      <c r="I123">
        <f t="shared" si="21"/>
        <v>23</v>
      </c>
      <c r="J123">
        <f t="shared" si="22"/>
        <v>204.99999999992724</v>
      </c>
      <c r="K123">
        <f t="shared" si="23"/>
        <v>5423.2049999999999</v>
      </c>
      <c r="L123">
        <v>2</v>
      </c>
      <c r="M123" t="s">
        <v>17</v>
      </c>
    </row>
    <row r="124" spans="1:13" x14ac:dyDescent="0.25">
      <c r="A124" t="s">
        <v>0</v>
      </c>
      <c r="B124">
        <v>1</v>
      </c>
      <c r="C124">
        <v>30</v>
      </c>
      <c r="D124">
        <v>40</v>
      </c>
      <c r="E124">
        <v>150</v>
      </c>
      <c r="F124">
        <f t="shared" si="18"/>
        <v>5440.15</v>
      </c>
      <c r="G124">
        <f t="shared" si="19"/>
        <v>1</v>
      </c>
      <c r="H124">
        <f t="shared" si="20"/>
        <v>30</v>
      </c>
      <c r="I124">
        <f t="shared" si="21"/>
        <v>42</v>
      </c>
      <c r="J124">
        <f t="shared" si="22"/>
        <v>149.9999999996362</v>
      </c>
      <c r="K124">
        <f t="shared" si="23"/>
        <v>5442.15</v>
      </c>
      <c r="L124">
        <v>2</v>
      </c>
      <c r="M124" t="s">
        <v>17</v>
      </c>
    </row>
    <row r="125" spans="1:13" x14ac:dyDescent="0.25">
      <c r="A125" t="s">
        <v>1</v>
      </c>
      <c r="B125">
        <f t="shared" ref="B125:B142" si="24">_xlfn.FLOOR.MATH(F125/3600)</f>
        <v>1</v>
      </c>
      <c r="C125">
        <f t="shared" ref="C125:C142" si="25">_xlfn.FLOOR.MATH((F125-3600*B125)/60)</f>
        <v>31</v>
      </c>
      <c r="D125">
        <f t="shared" ref="D125:D142" si="26">_xlfn.FLOOR.MATH(F125 - 3600*B125 - 60*C125)</f>
        <v>29</v>
      </c>
      <c r="E125">
        <f t="shared" ref="E125:E142" si="27">(F125-3600*B125 - 60*C125 -D125)*1000</f>
        <v>539.99999999996362</v>
      </c>
      <c r="F125">
        <f t="shared" ref="F125:F142" si="28">K125-L125</f>
        <v>5489.54</v>
      </c>
      <c r="G125">
        <v>1</v>
      </c>
      <c r="H125">
        <v>31</v>
      </c>
      <c r="I125">
        <v>31</v>
      </c>
      <c r="J125">
        <v>540</v>
      </c>
      <c r="K125">
        <f t="shared" ref="K125:K142" si="29">G125*60*60 +H125*60 + I125 + J125*0.001</f>
        <v>5491.54</v>
      </c>
      <c r="L125">
        <v>2</v>
      </c>
      <c r="M125" t="s">
        <v>18</v>
      </c>
    </row>
    <row r="126" spans="1:13" x14ac:dyDescent="0.25">
      <c r="A126" t="s">
        <v>1</v>
      </c>
      <c r="B126">
        <f t="shared" si="24"/>
        <v>1</v>
      </c>
      <c r="C126">
        <f t="shared" si="25"/>
        <v>32</v>
      </c>
      <c r="D126">
        <f t="shared" si="26"/>
        <v>0</v>
      </c>
      <c r="E126">
        <f t="shared" si="27"/>
        <v>555.00000000029104</v>
      </c>
      <c r="F126">
        <f t="shared" si="28"/>
        <v>5520.5550000000003</v>
      </c>
      <c r="G126">
        <v>1</v>
      </c>
      <c r="H126">
        <v>32</v>
      </c>
      <c r="I126">
        <v>2</v>
      </c>
      <c r="J126">
        <v>555</v>
      </c>
      <c r="K126">
        <f t="shared" si="29"/>
        <v>5522.5550000000003</v>
      </c>
      <c r="L126">
        <v>2</v>
      </c>
      <c r="M126" t="s">
        <v>18</v>
      </c>
    </row>
    <row r="127" spans="1:13" x14ac:dyDescent="0.25">
      <c r="A127" t="s">
        <v>1</v>
      </c>
      <c r="B127">
        <f t="shared" si="24"/>
        <v>1</v>
      </c>
      <c r="C127">
        <f t="shared" si="25"/>
        <v>32</v>
      </c>
      <c r="D127">
        <f t="shared" si="26"/>
        <v>18</v>
      </c>
      <c r="E127">
        <f t="shared" si="27"/>
        <v>653.00000000024738</v>
      </c>
      <c r="F127">
        <f t="shared" si="28"/>
        <v>5538.6530000000002</v>
      </c>
      <c r="G127">
        <v>1</v>
      </c>
      <c r="H127">
        <v>32</v>
      </c>
      <c r="I127">
        <v>20</v>
      </c>
      <c r="J127">
        <v>653</v>
      </c>
      <c r="K127">
        <f t="shared" si="29"/>
        <v>5540.6530000000002</v>
      </c>
      <c r="L127">
        <v>2</v>
      </c>
      <c r="M127" t="s">
        <v>18</v>
      </c>
    </row>
    <row r="128" spans="1:13" x14ac:dyDescent="0.25">
      <c r="A128" t="s">
        <v>1</v>
      </c>
      <c r="B128">
        <f t="shared" si="24"/>
        <v>1</v>
      </c>
      <c r="C128">
        <f t="shared" si="25"/>
        <v>32</v>
      </c>
      <c r="D128">
        <f t="shared" si="26"/>
        <v>38</v>
      </c>
      <c r="E128">
        <f t="shared" si="27"/>
        <v>853.00000000006548</v>
      </c>
      <c r="F128">
        <f t="shared" si="28"/>
        <v>5558.8530000000001</v>
      </c>
      <c r="G128">
        <v>1</v>
      </c>
      <c r="H128">
        <v>32</v>
      </c>
      <c r="I128">
        <v>40</v>
      </c>
      <c r="J128">
        <v>853</v>
      </c>
      <c r="K128">
        <f t="shared" si="29"/>
        <v>5560.8530000000001</v>
      </c>
      <c r="L128">
        <v>2</v>
      </c>
      <c r="M128" t="s">
        <v>18</v>
      </c>
    </row>
    <row r="129" spans="1:13" x14ac:dyDescent="0.25">
      <c r="A129" t="s">
        <v>1</v>
      </c>
      <c r="B129">
        <f t="shared" si="24"/>
        <v>1</v>
      </c>
      <c r="C129">
        <f t="shared" si="25"/>
        <v>32</v>
      </c>
      <c r="D129">
        <f t="shared" si="26"/>
        <v>56</v>
      </c>
      <c r="E129">
        <f t="shared" si="27"/>
        <v>645.99999999973079</v>
      </c>
      <c r="F129">
        <f t="shared" si="28"/>
        <v>5576.6459999999997</v>
      </c>
      <c r="G129">
        <v>1</v>
      </c>
      <c r="H129">
        <v>32</v>
      </c>
      <c r="I129">
        <v>58</v>
      </c>
      <c r="J129">
        <v>646</v>
      </c>
      <c r="K129">
        <f t="shared" si="29"/>
        <v>5578.6459999999997</v>
      </c>
      <c r="L129">
        <v>2</v>
      </c>
      <c r="M129" t="s">
        <v>18</v>
      </c>
    </row>
    <row r="130" spans="1:13" x14ac:dyDescent="0.25">
      <c r="A130" t="s">
        <v>1</v>
      </c>
      <c r="B130">
        <f t="shared" si="24"/>
        <v>1</v>
      </c>
      <c r="C130">
        <f t="shared" si="25"/>
        <v>33</v>
      </c>
      <c r="D130">
        <f t="shared" si="26"/>
        <v>13</v>
      </c>
      <c r="E130">
        <f t="shared" si="27"/>
        <v>91.000000000349246</v>
      </c>
      <c r="F130">
        <f t="shared" si="28"/>
        <v>5593.0910000000003</v>
      </c>
      <c r="G130">
        <v>1</v>
      </c>
      <c r="H130">
        <v>33</v>
      </c>
      <c r="I130">
        <v>15</v>
      </c>
      <c r="J130">
        <v>91</v>
      </c>
      <c r="K130">
        <f t="shared" si="29"/>
        <v>5595.0910000000003</v>
      </c>
      <c r="L130">
        <v>2</v>
      </c>
      <c r="M130" t="s">
        <v>18</v>
      </c>
    </row>
    <row r="131" spans="1:13" x14ac:dyDescent="0.25">
      <c r="A131" t="s">
        <v>1</v>
      </c>
      <c r="B131">
        <f t="shared" si="24"/>
        <v>1</v>
      </c>
      <c r="C131">
        <f t="shared" si="25"/>
        <v>33</v>
      </c>
      <c r="D131">
        <f t="shared" si="26"/>
        <v>31</v>
      </c>
      <c r="E131">
        <f t="shared" si="27"/>
        <v>168.99999999986903</v>
      </c>
      <c r="F131">
        <f t="shared" si="28"/>
        <v>5611.1689999999999</v>
      </c>
      <c r="G131">
        <v>1</v>
      </c>
      <c r="H131">
        <v>33</v>
      </c>
      <c r="I131">
        <v>33</v>
      </c>
      <c r="J131">
        <v>169</v>
      </c>
      <c r="K131">
        <f t="shared" si="29"/>
        <v>5613.1689999999999</v>
      </c>
      <c r="L131">
        <v>2</v>
      </c>
      <c r="M131" t="s">
        <v>18</v>
      </c>
    </row>
    <row r="132" spans="1:13" x14ac:dyDescent="0.25">
      <c r="A132" t="s">
        <v>1</v>
      </c>
      <c r="B132">
        <f t="shared" si="24"/>
        <v>1</v>
      </c>
      <c r="C132">
        <f t="shared" si="25"/>
        <v>33</v>
      </c>
      <c r="D132">
        <f t="shared" si="26"/>
        <v>54</v>
      </c>
      <c r="E132">
        <f t="shared" si="27"/>
        <v>101.99999999986176</v>
      </c>
      <c r="F132">
        <f t="shared" si="28"/>
        <v>5634.1019999999999</v>
      </c>
      <c r="G132">
        <v>1</v>
      </c>
      <c r="H132">
        <v>33</v>
      </c>
      <c r="I132">
        <v>56</v>
      </c>
      <c r="J132">
        <v>102</v>
      </c>
      <c r="K132">
        <f t="shared" si="29"/>
        <v>5636.1019999999999</v>
      </c>
      <c r="L132">
        <v>2</v>
      </c>
      <c r="M132" t="s">
        <v>18</v>
      </c>
    </row>
    <row r="133" spans="1:13" x14ac:dyDescent="0.25">
      <c r="A133" t="s">
        <v>1</v>
      </c>
      <c r="B133">
        <f t="shared" si="24"/>
        <v>1</v>
      </c>
      <c r="C133">
        <f t="shared" si="25"/>
        <v>34</v>
      </c>
      <c r="D133">
        <f t="shared" si="26"/>
        <v>12</v>
      </c>
      <c r="E133">
        <f t="shared" si="27"/>
        <v>197.00000000011642</v>
      </c>
      <c r="F133">
        <f t="shared" si="28"/>
        <v>5652.1970000000001</v>
      </c>
      <c r="G133">
        <v>1</v>
      </c>
      <c r="H133">
        <v>34</v>
      </c>
      <c r="I133">
        <v>14</v>
      </c>
      <c r="J133">
        <v>197</v>
      </c>
      <c r="K133">
        <f t="shared" si="29"/>
        <v>5654.1970000000001</v>
      </c>
      <c r="L133">
        <v>2</v>
      </c>
      <c r="M133" t="s">
        <v>18</v>
      </c>
    </row>
    <row r="134" spans="1:13" x14ac:dyDescent="0.25">
      <c r="A134" t="s">
        <v>1</v>
      </c>
      <c r="B134">
        <f t="shared" si="24"/>
        <v>1</v>
      </c>
      <c r="C134">
        <f t="shared" si="25"/>
        <v>34</v>
      </c>
      <c r="D134">
        <f t="shared" si="26"/>
        <v>33</v>
      </c>
      <c r="E134">
        <f t="shared" si="27"/>
        <v>432.99999999999272</v>
      </c>
      <c r="F134">
        <f t="shared" si="28"/>
        <v>5673.433</v>
      </c>
      <c r="G134">
        <v>1</v>
      </c>
      <c r="H134">
        <v>34</v>
      </c>
      <c r="I134">
        <v>35</v>
      </c>
      <c r="J134">
        <v>433</v>
      </c>
      <c r="K134">
        <f t="shared" si="29"/>
        <v>5675.433</v>
      </c>
      <c r="L134">
        <v>2</v>
      </c>
      <c r="M134" t="s">
        <v>18</v>
      </c>
    </row>
    <row r="135" spans="1:13" x14ac:dyDescent="0.25">
      <c r="A135" t="s">
        <v>1</v>
      </c>
      <c r="B135">
        <f t="shared" si="24"/>
        <v>1</v>
      </c>
      <c r="C135">
        <f t="shared" si="25"/>
        <v>34</v>
      </c>
      <c r="D135">
        <f t="shared" si="26"/>
        <v>50</v>
      </c>
      <c r="E135">
        <f t="shared" si="27"/>
        <v>238.99999999957799</v>
      </c>
      <c r="F135">
        <f t="shared" si="28"/>
        <v>5690.2389999999996</v>
      </c>
      <c r="G135">
        <v>1</v>
      </c>
      <c r="H135">
        <v>34</v>
      </c>
      <c r="I135">
        <v>52</v>
      </c>
      <c r="J135">
        <v>239</v>
      </c>
      <c r="K135">
        <f t="shared" si="29"/>
        <v>5692.2389999999996</v>
      </c>
      <c r="L135">
        <v>2</v>
      </c>
      <c r="M135" t="s">
        <v>18</v>
      </c>
    </row>
    <row r="136" spans="1:13" x14ac:dyDescent="0.25">
      <c r="A136" t="s">
        <v>1</v>
      </c>
      <c r="B136">
        <f t="shared" si="24"/>
        <v>1</v>
      </c>
      <c r="C136">
        <f t="shared" si="25"/>
        <v>35</v>
      </c>
      <c r="D136">
        <f t="shared" si="26"/>
        <v>5</v>
      </c>
      <c r="E136">
        <f t="shared" si="27"/>
        <v>412.00000000026193</v>
      </c>
      <c r="F136">
        <f t="shared" si="28"/>
        <v>5705.4120000000003</v>
      </c>
      <c r="G136">
        <v>1</v>
      </c>
      <c r="H136">
        <v>35</v>
      </c>
      <c r="I136">
        <v>7</v>
      </c>
      <c r="J136">
        <v>412</v>
      </c>
      <c r="K136">
        <f t="shared" si="29"/>
        <v>5707.4120000000003</v>
      </c>
      <c r="L136">
        <v>2</v>
      </c>
      <c r="M136" t="s">
        <v>18</v>
      </c>
    </row>
    <row r="137" spans="1:13" x14ac:dyDescent="0.25">
      <c r="A137" t="s">
        <v>1</v>
      </c>
      <c r="B137">
        <f t="shared" si="24"/>
        <v>1</v>
      </c>
      <c r="C137">
        <f t="shared" si="25"/>
        <v>35</v>
      </c>
      <c r="D137">
        <f t="shared" si="26"/>
        <v>22</v>
      </c>
      <c r="E137">
        <f t="shared" si="27"/>
        <v>483.00000000017462</v>
      </c>
      <c r="F137">
        <f t="shared" si="28"/>
        <v>5722.4830000000002</v>
      </c>
      <c r="G137">
        <v>1</v>
      </c>
      <c r="H137">
        <v>35</v>
      </c>
      <c r="I137">
        <v>24</v>
      </c>
      <c r="J137">
        <v>483</v>
      </c>
      <c r="K137">
        <f t="shared" si="29"/>
        <v>5724.4830000000002</v>
      </c>
      <c r="L137">
        <v>2</v>
      </c>
      <c r="M137" t="s">
        <v>18</v>
      </c>
    </row>
    <row r="138" spans="1:13" x14ac:dyDescent="0.25">
      <c r="A138" t="s">
        <v>1</v>
      </c>
      <c r="B138">
        <f t="shared" si="24"/>
        <v>1</v>
      </c>
      <c r="C138">
        <f t="shared" si="25"/>
        <v>35</v>
      </c>
      <c r="D138">
        <f t="shared" si="26"/>
        <v>38</v>
      </c>
      <c r="E138">
        <f t="shared" si="27"/>
        <v>631.9999999996071</v>
      </c>
      <c r="F138">
        <f t="shared" si="28"/>
        <v>5738.6319999999996</v>
      </c>
      <c r="G138">
        <v>1</v>
      </c>
      <c r="H138">
        <v>35</v>
      </c>
      <c r="I138">
        <v>40</v>
      </c>
      <c r="J138">
        <v>632</v>
      </c>
      <c r="K138">
        <f t="shared" si="29"/>
        <v>5740.6319999999996</v>
      </c>
      <c r="L138">
        <v>2</v>
      </c>
      <c r="M138" t="s">
        <v>18</v>
      </c>
    </row>
    <row r="139" spans="1:13" x14ac:dyDescent="0.25">
      <c r="A139" t="s">
        <v>1</v>
      </c>
      <c r="B139">
        <f t="shared" si="24"/>
        <v>1</v>
      </c>
      <c r="C139">
        <f t="shared" si="25"/>
        <v>35</v>
      </c>
      <c r="D139">
        <f t="shared" si="26"/>
        <v>58</v>
      </c>
      <c r="E139">
        <f t="shared" si="27"/>
        <v>77.000000000225555</v>
      </c>
      <c r="F139">
        <f t="shared" si="28"/>
        <v>5758.0770000000002</v>
      </c>
      <c r="G139">
        <v>1</v>
      </c>
      <c r="H139">
        <v>36</v>
      </c>
      <c r="I139">
        <v>0</v>
      </c>
      <c r="J139">
        <v>77</v>
      </c>
      <c r="K139">
        <f t="shared" si="29"/>
        <v>5760.0770000000002</v>
      </c>
      <c r="L139">
        <v>2</v>
      </c>
      <c r="M139" t="s">
        <v>18</v>
      </c>
    </row>
    <row r="140" spans="1:13" x14ac:dyDescent="0.25">
      <c r="A140" t="s">
        <v>1</v>
      </c>
      <c r="B140">
        <f t="shared" si="24"/>
        <v>1</v>
      </c>
      <c r="C140">
        <f t="shared" si="25"/>
        <v>36</v>
      </c>
      <c r="D140">
        <f t="shared" si="26"/>
        <v>16</v>
      </c>
      <c r="E140">
        <f t="shared" si="27"/>
        <v>609.99999999967258</v>
      </c>
      <c r="F140">
        <f t="shared" si="28"/>
        <v>5776.61</v>
      </c>
      <c r="G140">
        <v>1</v>
      </c>
      <c r="H140">
        <v>36</v>
      </c>
      <c r="I140">
        <v>18</v>
      </c>
      <c r="J140">
        <v>610</v>
      </c>
      <c r="K140">
        <f t="shared" si="29"/>
        <v>5778.61</v>
      </c>
      <c r="L140">
        <v>2</v>
      </c>
      <c r="M140" t="s">
        <v>18</v>
      </c>
    </row>
    <row r="141" spans="1:13" x14ac:dyDescent="0.25">
      <c r="A141" t="s">
        <v>1</v>
      </c>
      <c r="B141">
        <f t="shared" si="24"/>
        <v>1</v>
      </c>
      <c r="C141">
        <f t="shared" si="25"/>
        <v>36</v>
      </c>
      <c r="D141">
        <f t="shared" si="26"/>
        <v>32</v>
      </c>
      <c r="E141">
        <f t="shared" si="27"/>
        <v>587.99999999973807</v>
      </c>
      <c r="F141">
        <f t="shared" si="28"/>
        <v>5792.5879999999997</v>
      </c>
      <c r="G141">
        <v>1</v>
      </c>
      <c r="H141">
        <v>36</v>
      </c>
      <c r="I141">
        <v>34</v>
      </c>
      <c r="J141">
        <v>588</v>
      </c>
      <c r="K141">
        <f t="shared" si="29"/>
        <v>5794.5879999999997</v>
      </c>
      <c r="L141">
        <v>2</v>
      </c>
      <c r="M141" t="s">
        <v>18</v>
      </c>
    </row>
    <row r="142" spans="1:13" x14ac:dyDescent="0.25">
      <c r="A142" t="s">
        <v>1</v>
      </c>
      <c r="B142">
        <f t="shared" si="24"/>
        <v>1</v>
      </c>
      <c r="C142">
        <f t="shared" si="25"/>
        <v>36</v>
      </c>
      <c r="D142">
        <f t="shared" si="26"/>
        <v>50</v>
      </c>
      <c r="E142">
        <f t="shared" si="27"/>
        <v>934.00000000019645</v>
      </c>
      <c r="F142">
        <f t="shared" si="28"/>
        <v>5810.9340000000002</v>
      </c>
      <c r="G142">
        <v>1</v>
      </c>
      <c r="H142">
        <v>36</v>
      </c>
      <c r="I142">
        <v>52</v>
      </c>
      <c r="J142">
        <v>934</v>
      </c>
      <c r="K142">
        <f t="shared" si="29"/>
        <v>5812.9340000000002</v>
      </c>
      <c r="L142">
        <v>2</v>
      </c>
      <c r="M142" t="s">
        <v>18</v>
      </c>
    </row>
    <row r="143" spans="1:13" x14ac:dyDescent="0.25">
      <c r="A143" t="s">
        <v>0</v>
      </c>
      <c r="B143">
        <v>1</v>
      </c>
      <c r="C143">
        <v>51</v>
      </c>
      <c r="D143">
        <v>40</v>
      </c>
      <c r="E143">
        <v>109</v>
      </c>
      <c r="F143">
        <f t="shared" ref="F143:F180" si="30">B143*60*60 +C143*60 + D143 + E143*0.001</f>
        <v>6700.1090000000004</v>
      </c>
      <c r="G143">
        <f t="shared" ref="G143:G180" si="31">_xlfn.FLOOR.MATH(K143/3600)</f>
        <v>1</v>
      </c>
      <c r="H143">
        <f t="shared" ref="H143:H180" si="32">_xlfn.FLOOR.MATH((K143-3600*G143)/60)</f>
        <v>51</v>
      </c>
      <c r="I143">
        <f t="shared" ref="I143:I180" si="33">_xlfn.FLOOR.MATH(K143 - 3600*G143 - 60*H143)</f>
        <v>44</v>
      </c>
      <c r="J143">
        <f t="shared" ref="J143:J180" si="34">(K143-3600*G143 - 60*H143 -I143)*1000</f>
        <v>929.00000000008731</v>
      </c>
      <c r="K143">
        <f t="shared" ref="K143:K202" si="35">F143+L143</f>
        <v>6704.9290000000001</v>
      </c>
      <c r="L143">
        <v>4.82</v>
      </c>
      <c r="M143" t="s">
        <v>16</v>
      </c>
    </row>
    <row r="144" spans="1:13" x14ac:dyDescent="0.25">
      <c r="A144" t="s">
        <v>0</v>
      </c>
      <c r="B144">
        <v>1</v>
      </c>
      <c r="C144">
        <v>51</v>
      </c>
      <c r="D144">
        <v>59</v>
      </c>
      <c r="E144">
        <v>25</v>
      </c>
      <c r="F144">
        <f t="shared" si="30"/>
        <v>6719.0249999999996</v>
      </c>
      <c r="G144">
        <f t="shared" si="31"/>
        <v>1</v>
      </c>
      <c r="H144">
        <f t="shared" si="32"/>
        <v>52</v>
      </c>
      <c r="I144">
        <f t="shared" si="33"/>
        <v>3</v>
      </c>
      <c r="J144">
        <f t="shared" si="34"/>
        <v>844.99999999934516</v>
      </c>
      <c r="K144">
        <f t="shared" si="35"/>
        <v>6723.8449999999993</v>
      </c>
      <c r="L144">
        <v>4.82</v>
      </c>
      <c r="M144" t="s">
        <v>16</v>
      </c>
    </row>
    <row r="145" spans="1:13" x14ac:dyDescent="0.25">
      <c r="A145" t="s">
        <v>0</v>
      </c>
      <c r="B145">
        <v>1</v>
      </c>
      <c r="C145">
        <v>52</v>
      </c>
      <c r="D145">
        <v>9</v>
      </c>
      <c r="E145">
        <v>431</v>
      </c>
      <c r="F145">
        <f t="shared" si="30"/>
        <v>6729.4309999999996</v>
      </c>
      <c r="G145">
        <f t="shared" si="31"/>
        <v>1</v>
      </c>
      <c r="H145">
        <f t="shared" si="32"/>
        <v>52</v>
      </c>
      <c r="I145">
        <f t="shared" si="33"/>
        <v>14</v>
      </c>
      <c r="J145">
        <f t="shared" si="34"/>
        <v>250.99999999929423</v>
      </c>
      <c r="K145">
        <f t="shared" si="35"/>
        <v>6734.2509999999993</v>
      </c>
      <c r="L145">
        <v>4.82</v>
      </c>
      <c r="M145" t="s">
        <v>16</v>
      </c>
    </row>
    <row r="146" spans="1:13" x14ac:dyDescent="0.25">
      <c r="A146" t="s">
        <v>0</v>
      </c>
      <c r="B146">
        <v>1</v>
      </c>
      <c r="C146">
        <v>52</v>
      </c>
      <c r="D146">
        <v>28</v>
      </c>
      <c r="E146">
        <v>551</v>
      </c>
      <c r="F146">
        <f t="shared" si="30"/>
        <v>6748.5510000000004</v>
      </c>
      <c r="G146">
        <f t="shared" si="31"/>
        <v>1</v>
      </c>
      <c r="H146">
        <f t="shared" si="32"/>
        <v>52</v>
      </c>
      <c r="I146">
        <f t="shared" si="33"/>
        <v>33</v>
      </c>
      <c r="J146">
        <f t="shared" si="34"/>
        <v>371.00000000009459</v>
      </c>
      <c r="K146">
        <f t="shared" si="35"/>
        <v>6753.3710000000001</v>
      </c>
      <c r="L146">
        <v>4.82</v>
      </c>
      <c r="M146" t="s">
        <v>16</v>
      </c>
    </row>
    <row r="147" spans="1:13" x14ac:dyDescent="0.25">
      <c r="A147" t="s">
        <v>0</v>
      </c>
      <c r="B147">
        <v>1</v>
      </c>
      <c r="C147">
        <v>52</v>
      </c>
      <c r="D147">
        <v>47</v>
      </c>
      <c r="E147">
        <v>714</v>
      </c>
      <c r="F147">
        <f t="shared" si="30"/>
        <v>6767.7139999999999</v>
      </c>
      <c r="G147">
        <f t="shared" si="31"/>
        <v>1</v>
      </c>
      <c r="H147">
        <f t="shared" si="32"/>
        <v>52</v>
      </c>
      <c r="I147">
        <f t="shared" si="33"/>
        <v>52</v>
      </c>
      <c r="J147">
        <f t="shared" si="34"/>
        <v>533.99999999965075</v>
      </c>
      <c r="K147">
        <f t="shared" si="35"/>
        <v>6772.5339999999997</v>
      </c>
      <c r="L147">
        <v>4.82</v>
      </c>
      <c r="M147" t="s">
        <v>16</v>
      </c>
    </row>
    <row r="148" spans="1:13" x14ac:dyDescent="0.25">
      <c r="A148" t="s">
        <v>0</v>
      </c>
      <c r="B148">
        <v>1</v>
      </c>
      <c r="C148">
        <v>53</v>
      </c>
      <c r="D148">
        <v>6</v>
      </c>
      <c r="E148">
        <v>299</v>
      </c>
      <c r="F148">
        <f t="shared" si="30"/>
        <v>6786.299</v>
      </c>
      <c r="G148">
        <f t="shared" si="31"/>
        <v>1</v>
      </c>
      <c r="H148">
        <f t="shared" si="32"/>
        <v>53</v>
      </c>
      <c r="I148">
        <f t="shared" si="33"/>
        <v>11</v>
      </c>
      <c r="J148">
        <f t="shared" si="34"/>
        <v>118.99999999968713</v>
      </c>
      <c r="K148">
        <f t="shared" si="35"/>
        <v>6791.1189999999997</v>
      </c>
      <c r="L148">
        <v>4.82</v>
      </c>
      <c r="M148" t="s">
        <v>16</v>
      </c>
    </row>
    <row r="149" spans="1:13" x14ac:dyDescent="0.25">
      <c r="A149" t="s">
        <v>0</v>
      </c>
      <c r="B149">
        <v>1</v>
      </c>
      <c r="C149">
        <v>53</v>
      </c>
      <c r="D149">
        <v>25</v>
      </c>
      <c r="E149">
        <v>471</v>
      </c>
      <c r="F149">
        <f t="shared" si="30"/>
        <v>6805.4709999999995</v>
      </c>
      <c r="G149">
        <f t="shared" si="31"/>
        <v>1</v>
      </c>
      <c r="H149">
        <f t="shared" si="32"/>
        <v>53</v>
      </c>
      <c r="I149">
        <f t="shared" si="33"/>
        <v>30</v>
      </c>
      <c r="J149">
        <f t="shared" si="34"/>
        <v>290.99999999925785</v>
      </c>
      <c r="K149">
        <f t="shared" si="35"/>
        <v>6810.2909999999993</v>
      </c>
      <c r="L149">
        <v>4.82</v>
      </c>
      <c r="M149" t="s">
        <v>16</v>
      </c>
    </row>
    <row r="150" spans="1:13" x14ac:dyDescent="0.25">
      <c r="A150" t="s">
        <v>0</v>
      </c>
      <c r="B150">
        <v>1</v>
      </c>
      <c r="C150">
        <v>53</v>
      </c>
      <c r="D150">
        <v>46</v>
      </c>
      <c r="E150">
        <v>110</v>
      </c>
      <c r="F150">
        <f t="shared" si="30"/>
        <v>6826.11</v>
      </c>
      <c r="G150">
        <f t="shared" si="31"/>
        <v>1</v>
      </c>
      <c r="H150">
        <f t="shared" si="32"/>
        <v>53</v>
      </c>
      <c r="I150">
        <f t="shared" si="33"/>
        <v>50</v>
      </c>
      <c r="J150">
        <f t="shared" si="34"/>
        <v>929.99999999938154</v>
      </c>
      <c r="K150">
        <f t="shared" si="35"/>
        <v>6830.9299999999994</v>
      </c>
      <c r="L150">
        <v>4.82</v>
      </c>
      <c r="M150" t="s">
        <v>16</v>
      </c>
    </row>
    <row r="151" spans="1:13" x14ac:dyDescent="0.25">
      <c r="A151" t="s">
        <v>0</v>
      </c>
      <c r="B151">
        <v>1</v>
      </c>
      <c r="C151">
        <v>54</v>
      </c>
      <c r="D151">
        <v>4</v>
      </c>
      <c r="E151">
        <v>936</v>
      </c>
      <c r="F151">
        <f t="shared" si="30"/>
        <v>6844.9359999999997</v>
      </c>
      <c r="G151">
        <f t="shared" si="31"/>
        <v>1</v>
      </c>
      <c r="H151">
        <f t="shared" si="32"/>
        <v>54</v>
      </c>
      <c r="I151">
        <f t="shared" si="33"/>
        <v>9</v>
      </c>
      <c r="J151">
        <f t="shared" si="34"/>
        <v>755.99999999940337</v>
      </c>
      <c r="K151">
        <f t="shared" si="35"/>
        <v>6849.7559999999994</v>
      </c>
      <c r="L151">
        <v>4.82</v>
      </c>
      <c r="M151" t="s">
        <v>16</v>
      </c>
    </row>
    <row r="152" spans="1:13" x14ac:dyDescent="0.25">
      <c r="A152" t="s">
        <v>0</v>
      </c>
      <c r="B152">
        <v>1</v>
      </c>
      <c r="C152">
        <v>54</v>
      </c>
      <c r="D152">
        <v>24</v>
      </c>
      <c r="E152">
        <v>666</v>
      </c>
      <c r="F152">
        <f t="shared" si="30"/>
        <v>6864.6660000000002</v>
      </c>
      <c r="G152">
        <f t="shared" si="31"/>
        <v>1</v>
      </c>
      <c r="H152">
        <f t="shared" si="32"/>
        <v>54</v>
      </c>
      <c r="I152">
        <f t="shared" si="33"/>
        <v>29</v>
      </c>
      <c r="J152">
        <f t="shared" si="34"/>
        <v>485.99999999987631</v>
      </c>
      <c r="K152">
        <f t="shared" si="35"/>
        <v>6869.4859999999999</v>
      </c>
      <c r="L152">
        <v>4.82</v>
      </c>
      <c r="M152" t="s">
        <v>16</v>
      </c>
    </row>
    <row r="153" spans="1:13" x14ac:dyDescent="0.25">
      <c r="A153" t="s">
        <v>0</v>
      </c>
      <c r="B153">
        <v>1</v>
      </c>
      <c r="C153">
        <v>54</v>
      </c>
      <c r="D153">
        <v>46</v>
      </c>
      <c r="E153">
        <v>70</v>
      </c>
      <c r="F153">
        <f t="shared" si="30"/>
        <v>6886.07</v>
      </c>
      <c r="G153">
        <f t="shared" si="31"/>
        <v>1</v>
      </c>
      <c r="H153">
        <f t="shared" si="32"/>
        <v>54</v>
      </c>
      <c r="I153">
        <f t="shared" si="33"/>
        <v>50</v>
      </c>
      <c r="J153">
        <f t="shared" si="34"/>
        <v>889.99999999941792</v>
      </c>
      <c r="K153">
        <f t="shared" si="35"/>
        <v>6890.8899999999994</v>
      </c>
      <c r="L153">
        <v>4.82</v>
      </c>
      <c r="M153" t="s">
        <v>16</v>
      </c>
    </row>
    <row r="154" spans="1:13" x14ac:dyDescent="0.25">
      <c r="A154" t="s">
        <v>0</v>
      </c>
      <c r="B154">
        <v>1</v>
      </c>
      <c r="C154">
        <v>55</v>
      </c>
      <c r="D154">
        <v>3</v>
      </c>
      <c r="E154">
        <v>59</v>
      </c>
      <c r="F154">
        <f t="shared" si="30"/>
        <v>6903.0590000000002</v>
      </c>
      <c r="G154">
        <f t="shared" si="31"/>
        <v>1</v>
      </c>
      <c r="H154">
        <f t="shared" si="32"/>
        <v>55</v>
      </c>
      <c r="I154">
        <f t="shared" si="33"/>
        <v>7</v>
      </c>
      <c r="J154">
        <f t="shared" si="34"/>
        <v>878.99999999990541</v>
      </c>
      <c r="K154">
        <f t="shared" si="35"/>
        <v>6907.8789999999999</v>
      </c>
      <c r="L154">
        <v>4.82</v>
      </c>
      <c r="M154" t="s">
        <v>16</v>
      </c>
    </row>
    <row r="155" spans="1:13" x14ac:dyDescent="0.25">
      <c r="A155" t="s">
        <v>0</v>
      </c>
      <c r="B155">
        <v>1</v>
      </c>
      <c r="C155">
        <v>55</v>
      </c>
      <c r="D155">
        <v>22</v>
      </c>
      <c r="E155">
        <v>152</v>
      </c>
      <c r="F155">
        <f t="shared" si="30"/>
        <v>6922.152</v>
      </c>
      <c r="G155">
        <f t="shared" si="31"/>
        <v>1</v>
      </c>
      <c r="H155">
        <f t="shared" si="32"/>
        <v>55</v>
      </c>
      <c r="I155">
        <f t="shared" si="33"/>
        <v>26</v>
      </c>
      <c r="J155">
        <f t="shared" si="34"/>
        <v>971.99999999975262</v>
      </c>
      <c r="K155">
        <f t="shared" si="35"/>
        <v>6926.9719999999998</v>
      </c>
      <c r="L155">
        <v>4.82</v>
      </c>
      <c r="M155" t="s">
        <v>16</v>
      </c>
    </row>
    <row r="156" spans="1:13" x14ac:dyDescent="0.25">
      <c r="A156" t="s">
        <v>0</v>
      </c>
      <c r="B156">
        <v>1</v>
      </c>
      <c r="C156">
        <v>55</v>
      </c>
      <c r="D156">
        <v>41</v>
      </c>
      <c r="E156">
        <v>154</v>
      </c>
      <c r="F156">
        <f t="shared" si="30"/>
        <v>6941.1540000000005</v>
      </c>
      <c r="G156">
        <f t="shared" si="31"/>
        <v>1</v>
      </c>
      <c r="H156">
        <f t="shared" si="32"/>
        <v>55</v>
      </c>
      <c r="I156">
        <f t="shared" si="33"/>
        <v>45</v>
      </c>
      <c r="J156">
        <f t="shared" si="34"/>
        <v>974.00000000016007</v>
      </c>
      <c r="K156">
        <f t="shared" si="35"/>
        <v>6945.9740000000002</v>
      </c>
      <c r="L156">
        <v>4.82</v>
      </c>
      <c r="M156" t="s">
        <v>16</v>
      </c>
    </row>
    <row r="157" spans="1:13" x14ac:dyDescent="0.25">
      <c r="A157" t="s">
        <v>0</v>
      </c>
      <c r="B157">
        <v>1</v>
      </c>
      <c r="C157">
        <v>56</v>
      </c>
      <c r="D157">
        <v>2</v>
      </c>
      <c r="E157">
        <v>464</v>
      </c>
      <c r="F157">
        <f t="shared" si="30"/>
        <v>6962.4639999999999</v>
      </c>
      <c r="G157">
        <f t="shared" si="31"/>
        <v>1</v>
      </c>
      <c r="H157">
        <f t="shared" si="32"/>
        <v>56</v>
      </c>
      <c r="I157">
        <f t="shared" si="33"/>
        <v>7</v>
      </c>
      <c r="J157">
        <f t="shared" si="34"/>
        <v>283.99999999965075</v>
      </c>
      <c r="K157">
        <f t="shared" si="35"/>
        <v>6967.2839999999997</v>
      </c>
      <c r="L157">
        <v>4.82</v>
      </c>
      <c r="M157" t="s">
        <v>16</v>
      </c>
    </row>
    <row r="158" spans="1:13" x14ac:dyDescent="0.25">
      <c r="A158" t="s">
        <v>0</v>
      </c>
      <c r="B158">
        <v>1</v>
      </c>
      <c r="C158">
        <v>56</v>
      </c>
      <c r="D158">
        <v>20</v>
      </c>
      <c r="E158">
        <v>660</v>
      </c>
      <c r="F158">
        <f t="shared" si="30"/>
        <v>6980.66</v>
      </c>
      <c r="G158">
        <f t="shared" si="31"/>
        <v>1</v>
      </c>
      <c r="H158">
        <f t="shared" si="32"/>
        <v>56</v>
      </c>
      <c r="I158">
        <f t="shared" si="33"/>
        <v>25</v>
      </c>
      <c r="J158">
        <f t="shared" si="34"/>
        <v>479.99999999956344</v>
      </c>
      <c r="K158">
        <f t="shared" si="35"/>
        <v>6985.48</v>
      </c>
      <c r="L158">
        <v>4.82</v>
      </c>
      <c r="M158" t="s">
        <v>16</v>
      </c>
    </row>
    <row r="159" spans="1:13" x14ac:dyDescent="0.25">
      <c r="A159" t="s">
        <v>0</v>
      </c>
      <c r="B159">
        <v>1</v>
      </c>
      <c r="C159">
        <v>56</v>
      </c>
      <c r="D159">
        <v>36</v>
      </c>
      <c r="E159">
        <v>321</v>
      </c>
      <c r="F159">
        <f t="shared" si="30"/>
        <v>6996.3209999999999</v>
      </c>
      <c r="G159">
        <f t="shared" si="31"/>
        <v>1</v>
      </c>
      <c r="H159">
        <f t="shared" si="32"/>
        <v>56</v>
      </c>
      <c r="I159">
        <f t="shared" si="33"/>
        <v>41</v>
      </c>
      <c r="J159">
        <f t="shared" si="34"/>
        <v>140.99999999962165</v>
      </c>
      <c r="K159">
        <f t="shared" si="35"/>
        <v>7001.1409999999996</v>
      </c>
      <c r="L159">
        <v>4.82</v>
      </c>
      <c r="M159" t="s">
        <v>16</v>
      </c>
    </row>
    <row r="160" spans="1:13" x14ac:dyDescent="0.25">
      <c r="A160" t="s">
        <v>0</v>
      </c>
      <c r="B160">
        <v>1</v>
      </c>
      <c r="C160">
        <v>56</v>
      </c>
      <c r="D160">
        <v>56</v>
      </c>
      <c r="E160">
        <v>139</v>
      </c>
      <c r="F160">
        <f t="shared" si="30"/>
        <v>7016.1390000000001</v>
      </c>
      <c r="G160">
        <f t="shared" si="31"/>
        <v>1</v>
      </c>
      <c r="H160">
        <f t="shared" si="32"/>
        <v>57</v>
      </c>
      <c r="I160">
        <f t="shared" si="33"/>
        <v>0</v>
      </c>
      <c r="J160">
        <f t="shared" si="34"/>
        <v>958.99999999983265</v>
      </c>
      <c r="K160">
        <f t="shared" si="35"/>
        <v>7020.9589999999998</v>
      </c>
      <c r="L160">
        <v>4.82</v>
      </c>
      <c r="M160" t="s">
        <v>16</v>
      </c>
    </row>
    <row r="161" spans="1:13" x14ac:dyDescent="0.25">
      <c r="A161" t="s">
        <v>0</v>
      </c>
      <c r="B161">
        <v>1</v>
      </c>
      <c r="C161">
        <v>57</v>
      </c>
      <c r="D161">
        <v>13</v>
      </c>
      <c r="E161">
        <v>444</v>
      </c>
      <c r="F161">
        <f t="shared" si="30"/>
        <v>7033.4440000000004</v>
      </c>
      <c r="G161">
        <f t="shared" si="31"/>
        <v>1</v>
      </c>
      <c r="H161">
        <f t="shared" si="32"/>
        <v>57</v>
      </c>
      <c r="I161">
        <f t="shared" si="33"/>
        <v>18</v>
      </c>
      <c r="J161">
        <f t="shared" si="34"/>
        <v>264.00000000012369</v>
      </c>
      <c r="K161">
        <f t="shared" si="35"/>
        <v>7038.2640000000001</v>
      </c>
      <c r="L161">
        <v>4.82</v>
      </c>
      <c r="M161" t="s">
        <v>16</v>
      </c>
    </row>
    <row r="162" spans="1:13" x14ac:dyDescent="0.25">
      <c r="A162" t="s">
        <v>0</v>
      </c>
      <c r="B162">
        <v>1</v>
      </c>
      <c r="C162">
        <v>57</v>
      </c>
      <c r="D162">
        <v>30</v>
      </c>
      <c r="E162">
        <v>634</v>
      </c>
      <c r="F162">
        <f t="shared" si="30"/>
        <v>7050.634</v>
      </c>
      <c r="G162">
        <f t="shared" si="31"/>
        <v>1</v>
      </c>
      <c r="H162">
        <f t="shared" si="32"/>
        <v>57</v>
      </c>
      <c r="I162">
        <f t="shared" si="33"/>
        <v>35</v>
      </c>
      <c r="J162">
        <f t="shared" si="34"/>
        <v>453.99999999972351</v>
      </c>
      <c r="K162">
        <f t="shared" si="35"/>
        <v>7055.4539999999997</v>
      </c>
      <c r="L162">
        <v>4.82</v>
      </c>
      <c r="M162" t="s">
        <v>16</v>
      </c>
    </row>
    <row r="163" spans="1:13" x14ac:dyDescent="0.25">
      <c r="A163" t="s">
        <v>0</v>
      </c>
      <c r="B163">
        <v>1</v>
      </c>
      <c r="C163">
        <v>57</v>
      </c>
      <c r="D163">
        <v>46</v>
      </c>
      <c r="E163">
        <v>167</v>
      </c>
      <c r="F163">
        <f t="shared" si="30"/>
        <v>7066.1670000000004</v>
      </c>
      <c r="G163">
        <f t="shared" si="31"/>
        <v>1</v>
      </c>
      <c r="H163">
        <f t="shared" si="32"/>
        <v>57</v>
      </c>
      <c r="I163">
        <f t="shared" si="33"/>
        <v>50</v>
      </c>
      <c r="J163">
        <f t="shared" si="34"/>
        <v>987.00000000008004</v>
      </c>
      <c r="K163">
        <f t="shared" si="35"/>
        <v>7070.9870000000001</v>
      </c>
      <c r="L163">
        <v>4.82</v>
      </c>
      <c r="M163" t="s">
        <v>16</v>
      </c>
    </row>
    <row r="164" spans="1:13" x14ac:dyDescent="0.25">
      <c r="A164" t="s">
        <v>0</v>
      </c>
      <c r="B164">
        <v>1</v>
      </c>
      <c r="C164">
        <v>58</v>
      </c>
      <c r="D164">
        <v>1</v>
      </c>
      <c r="E164">
        <v>813</v>
      </c>
      <c r="F164">
        <f t="shared" si="30"/>
        <v>7081.8130000000001</v>
      </c>
      <c r="G164">
        <f t="shared" si="31"/>
        <v>1</v>
      </c>
      <c r="H164">
        <f t="shared" si="32"/>
        <v>58</v>
      </c>
      <c r="I164">
        <f t="shared" si="33"/>
        <v>6</v>
      </c>
      <c r="J164">
        <f t="shared" si="34"/>
        <v>632.99999999981083</v>
      </c>
      <c r="K164">
        <f t="shared" si="35"/>
        <v>7086.6329999999998</v>
      </c>
      <c r="L164">
        <v>4.82</v>
      </c>
      <c r="M164" t="s">
        <v>16</v>
      </c>
    </row>
    <row r="165" spans="1:13" x14ac:dyDescent="0.25">
      <c r="A165" t="s">
        <v>0</v>
      </c>
      <c r="B165">
        <v>1</v>
      </c>
      <c r="C165">
        <v>58</v>
      </c>
      <c r="D165">
        <v>16</v>
      </c>
      <c r="E165">
        <v>945</v>
      </c>
      <c r="F165">
        <f t="shared" si="30"/>
        <v>7096.9449999999997</v>
      </c>
      <c r="G165">
        <f t="shared" si="31"/>
        <v>1</v>
      </c>
      <c r="H165">
        <f t="shared" si="32"/>
        <v>58</v>
      </c>
      <c r="I165">
        <f t="shared" si="33"/>
        <v>21</v>
      </c>
      <c r="J165">
        <f t="shared" si="34"/>
        <v>764.99999999941792</v>
      </c>
      <c r="K165">
        <f t="shared" si="35"/>
        <v>7101.7649999999994</v>
      </c>
      <c r="L165">
        <v>4.82</v>
      </c>
      <c r="M165" t="s">
        <v>16</v>
      </c>
    </row>
    <row r="166" spans="1:13" x14ac:dyDescent="0.25">
      <c r="A166" t="s">
        <v>0</v>
      </c>
      <c r="B166">
        <v>1</v>
      </c>
      <c r="C166">
        <v>58</v>
      </c>
      <c r="D166">
        <v>32</v>
      </c>
      <c r="E166">
        <v>313</v>
      </c>
      <c r="F166">
        <f t="shared" si="30"/>
        <v>7112.3130000000001</v>
      </c>
      <c r="G166">
        <f t="shared" si="31"/>
        <v>1</v>
      </c>
      <c r="H166">
        <f t="shared" si="32"/>
        <v>58</v>
      </c>
      <c r="I166">
        <f t="shared" si="33"/>
        <v>37</v>
      </c>
      <c r="J166">
        <f t="shared" si="34"/>
        <v>132.99999999981083</v>
      </c>
      <c r="K166">
        <f t="shared" si="35"/>
        <v>7117.1329999999998</v>
      </c>
      <c r="L166">
        <v>4.82</v>
      </c>
      <c r="M166" t="s">
        <v>16</v>
      </c>
    </row>
    <row r="167" spans="1:13" x14ac:dyDescent="0.25">
      <c r="A167" t="s">
        <v>0</v>
      </c>
      <c r="B167">
        <v>1</v>
      </c>
      <c r="C167">
        <v>58</v>
      </c>
      <c r="D167">
        <v>51</v>
      </c>
      <c r="E167">
        <v>70</v>
      </c>
      <c r="F167">
        <f t="shared" si="30"/>
        <v>7131.07</v>
      </c>
      <c r="G167">
        <f t="shared" si="31"/>
        <v>1</v>
      </c>
      <c r="H167">
        <f t="shared" si="32"/>
        <v>58</v>
      </c>
      <c r="I167">
        <f t="shared" si="33"/>
        <v>55</v>
      </c>
      <c r="J167">
        <f t="shared" si="34"/>
        <v>889.99999999941792</v>
      </c>
      <c r="K167">
        <f t="shared" si="35"/>
        <v>7135.8899999999994</v>
      </c>
      <c r="L167">
        <v>4.82</v>
      </c>
      <c r="M167" t="s">
        <v>16</v>
      </c>
    </row>
    <row r="168" spans="1:13" x14ac:dyDescent="0.25">
      <c r="A168" t="s">
        <v>0</v>
      </c>
      <c r="B168">
        <v>1</v>
      </c>
      <c r="C168">
        <v>59</v>
      </c>
      <c r="D168">
        <v>9</v>
      </c>
      <c r="E168">
        <v>708</v>
      </c>
      <c r="F168">
        <f t="shared" si="30"/>
        <v>7149.7079999999996</v>
      </c>
      <c r="G168">
        <f t="shared" si="31"/>
        <v>1</v>
      </c>
      <c r="H168">
        <f t="shared" si="32"/>
        <v>59</v>
      </c>
      <c r="I168">
        <f t="shared" si="33"/>
        <v>14</v>
      </c>
      <c r="J168">
        <f t="shared" si="34"/>
        <v>527.99999999933789</v>
      </c>
      <c r="K168">
        <f t="shared" si="35"/>
        <v>7154.5279999999993</v>
      </c>
      <c r="L168">
        <v>4.82</v>
      </c>
      <c r="M168" t="s">
        <v>16</v>
      </c>
    </row>
    <row r="169" spans="1:13" x14ac:dyDescent="0.25">
      <c r="A169" t="s">
        <v>0</v>
      </c>
      <c r="B169">
        <v>1</v>
      </c>
      <c r="C169">
        <v>59</v>
      </c>
      <c r="D169">
        <v>24</v>
      </c>
      <c r="E169">
        <v>656</v>
      </c>
      <c r="F169">
        <f t="shared" si="30"/>
        <v>7164.6559999999999</v>
      </c>
      <c r="G169">
        <f t="shared" si="31"/>
        <v>1</v>
      </c>
      <c r="H169">
        <f t="shared" si="32"/>
        <v>59</v>
      </c>
      <c r="I169">
        <f t="shared" si="33"/>
        <v>29</v>
      </c>
      <c r="J169">
        <f t="shared" si="34"/>
        <v>475.99999999965803</v>
      </c>
      <c r="K169">
        <f t="shared" si="35"/>
        <v>7169.4759999999997</v>
      </c>
      <c r="L169">
        <v>4.82</v>
      </c>
      <c r="M169" t="s">
        <v>16</v>
      </c>
    </row>
    <row r="170" spans="1:13" x14ac:dyDescent="0.25">
      <c r="A170" t="s">
        <v>0</v>
      </c>
      <c r="B170">
        <v>1</v>
      </c>
      <c r="C170">
        <v>59</v>
      </c>
      <c r="D170">
        <v>44</v>
      </c>
      <c r="E170">
        <v>768</v>
      </c>
      <c r="F170">
        <f t="shared" si="30"/>
        <v>7184.768</v>
      </c>
      <c r="G170">
        <f t="shared" si="31"/>
        <v>1</v>
      </c>
      <c r="H170">
        <f t="shared" si="32"/>
        <v>59</v>
      </c>
      <c r="I170">
        <f t="shared" si="33"/>
        <v>49</v>
      </c>
      <c r="J170">
        <f t="shared" si="34"/>
        <v>587.99999999973807</v>
      </c>
      <c r="K170">
        <f t="shared" si="35"/>
        <v>7189.5879999999997</v>
      </c>
      <c r="L170">
        <v>4.82</v>
      </c>
      <c r="M170" t="s">
        <v>16</v>
      </c>
    </row>
    <row r="171" spans="1:13" x14ac:dyDescent="0.25">
      <c r="A171" t="s">
        <v>0</v>
      </c>
      <c r="B171">
        <v>2</v>
      </c>
      <c r="C171">
        <v>1</v>
      </c>
      <c r="D171">
        <v>4</v>
      </c>
      <c r="E171">
        <v>164</v>
      </c>
      <c r="F171">
        <f t="shared" si="30"/>
        <v>7264.1639999999998</v>
      </c>
      <c r="G171">
        <f t="shared" si="31"/>
        <v>2</v>
      </c>
      <c r="H171">
        <f t="shared" si="32"/>
        <v>1</v>
      </c>
      <c r="I171">
        <f t="shared" si="33"/>
        <v>9</v>
      </c>
      <c r="J171">
        <f t="shared" si="34"/>
        <v>163.99999999975989</v>
      </c>
      <c r="K171">
        <f t="shared" si="35"/>
        <v>7269.1639999999998</v>
      </c>
      <c r="L171">
        <v>5</v>
      </c>
      <c r="M171" t="s">
        <v>16</v>
      </c>
    </row>
    <row r="172" spans="1:13" x14ac:dyDescent="0.25">
      <c r="A172" t="s">
        <v>0</v>
      </c>
      <c r="B172">
        <v>2</v>
      </c>
      <c r="C172">
        <v>1</v>
      </c>
      <c r="D172">
        <v>21</v>
      </c>
      <c r="E172">
        <v>34</v>
      </c>
      <c r="F172">
        <f t="shared" si="30"/>
        <v>7281.0339999999997</v>
      </c>
      <c r="G172">
        <f t="shared" si="31"/>
        <v>2</v>
      </c>
      <c r="H172">
        <f t="shared" si="32"/>
        <v>1</v>
      </c>
      <c r="I172">
        <f t="shared" si="33"/>
        <v>26</v>
      </c>
      <c r="J172">
        <f t="shared" si="34"/>
        <v>33.999999999650754</v>
      </c>
      <c r="K172">
        <f t="shared" si="35"/>
        <v>7286.0339999999997</v>
      </c>
      <c r="L172">
        <v>5</v>
      </c>
      <c r="M172" t="s">
        <v>16</v>
      </c>
    </row>
    <row r="173" spans="1:13" x14ac:dyDescent="0.25">
      <c r="A173" t="s">
        <v>0</v>
      </c>
      <c r="B173">
        <v>2</v>
      </c>
      <c r="C173">
        <v>1</v>
      </c>
      <c r="D173">
        <v>44</v>
      </c>
      <c r="E173">
        <v>889</v>
      </c>
      <c r="F173">
        <f t="shared" si="30"/>
        <v>7304.8890000000001</v>
      </c>
      <c r="G173">
        <f t="shared" si="31"/>
        <v>2</v>
      </c>
      <c r="H173">
        <f t="shared" si="32"/>
        <v>1</v>
      </c>
      <c r="I173">
        <f t="shared" si="33"/>
        <v>49</v>
      </c>
      <c r="J173">
        <f t="shared" si="34"/>
        <v>889.00000000012369</v>
      </c>
      <c r="K173">
        <f t="shared" si="35"/>
        <v>7309.8890000000001</v>
      </c>
      <c r="L173">
        <v>5</v>
      </c>
      <c r="M173" t="s">
        <v>16</v>
      </c>
    </row>
    <row r="174" spans="1:13" x14ac:dyDescent="0.25">
      <c r="A174" t="s">
        <v>0</v>
      </c>
      <c r="B174">
        <v>2</v>
      </c>
      <c r="C174">
        <v>2</v>
      </c>
      <c r="D174">
        <v>1</v>
      </c>
      <c r="E174">
        <v>289</v>
      </c>
      <c r="F174">
        <f t="shared" si="30"/>
        <v>7321.2889999999998</v>
      </c>
      <c r="G174">
        <f t="shared" si="31"/>
        <v>2</v>
      </c>
      <c r="H174">
        <f t="shared" si="32"/>
        <v>2</v>
      </c>
      <c r="I174">
        <f t="shared" si="33"/>
        <v>6</v>
      </c>
      <c r="J174">
        <f t="shared" si="34"/>
        <v>288.99999999975989</v>
      </c>
      <c r="K174">
        <f t="shared" si="35"/>
        <v>7326.2889999999998</v>
      </c>
      <c r="L174">
        <v>5</v>
      </c>
      <c r="M174" t="s">
        <v>16</v>
      </c>
    </row>
    <row r="175" spans="1:13" x14ac:dyDescent="0.25">
      <c r="A175" t="s">
        <v>0</v>
      </c>
      <c r="B175">
        <v>2</v>
      </c>
      <c r="C175">
        <v>2</v>
      </c>
      <c r="D175">
        <v>17</v>
      </c>
      <c r="E175">
        <v>203</v>
      </c>
      <c r="F175">
        <f t="shared" si="30"/>
        <v>7337.2030000000004</v>
      </c>
      <c r="G175">
        <f t="shared" si="31"/>
        <v>2</v>
      </c>
      <c r="H175">
        <f t="shared" si="32"/>
        <v>2</v>
      </c>
      <c r="I175">
        <f t="shared" si="33"/>
        <v>22</v>
      </c>
      <c r="J175">
        <f t="shared" si="34"/>
        <v>203.00000000042928</v>
      </c>
      <c r="K175">
        <f t="shared" si="35"/>
        <v>7342.2030000000004</v>
      </c>
      <c r="L175">
        <v>5</v>
      </c>
      <c r="M175" t="s">
        <v>16</v>
      </c>
    </row>
    <row r="176" spans="1:13" x14ac:dyDescent="0.25">
      <c r="A176" t="s">
        <v>0</v>
      </c>
      <c r="B176">
        <v>2</v>
      </c>
      <c r="C176">
        <v>2</v>
      </c>
      <c r="D176">
        <v>33</v>
      </c>
      <c r="E176">
        <v>862</v>
      </c>
      <c r="F176">
        <f t="shared" si="30"/>
        <v>7353.8620000000001</v>
      </c>
      <c r="G176">
        <f t="shared" si="31"/>
        <v>2</v>
      </c>
      <c r="H176">
        <f t="shared" si="32"/>
        <v>2</v>
      </c>
      <c r="I176">
        <f t="shared" si="33"/>
        <v>38</v>
      </c>
      <c r="J176">
        <f t="shared" si="34"/>
        <v>862.00000000008004</v>
      </c>
      <c r="K176">
        <f t="shared" si="35"/>
        <v>7358.8620000000001</v>
      </c>
      <c r="L176">
        <v>5</v>
      </c>
      <c r="M176" t="s">
        <v>16</v>
      </c>
    </row>
    <row r="177" spans="1:13" x14ac:dyDescent="0.25">
      <c r="A177" t="s">
        <v>0</v>
      </c>
      <c r="B177">
        <v>2</v>
      </c>
      <c r="C177">
        <v>2</v>
      </c>
      <c r="D177">
        <v>47</v>
      </c>
      <c r="E177">
        <v>838</v>
      </c>
      <c r="F177">
        <f t="shared" si="30"/>
        <v>7367.8379999999997</v>
      </c>
      <c r="G177">
        <f t="shared" si="31"/>
        <v>2</v>
      </c>
      <c r="H177">
        <f t="shared" si="32"/>
        <v>2</v>
      </c>
      <c r="I177">
        <f t="shared" si="33"/>
        <v>52</v>
      </c>
      <c r="J177">
        <f t="shared" si="34"/>
        <v>837.99999999973807</v>
      </c>
      <c r="K177">
        <f t="shared" si="35"/>
        <v>7372.8379999999997</v>
      </c>
      <c r="L177">
        <v>5</v>
      </c>
      <c r="M177" t="s">
        <v>16</v>
      </c>
    </row>
    <row r="178" spans="1:13" x14ac:dyDescent="0.25">
      <c r="A178" t="s">
        <v>0</v>
      </c>
      <c r="B178">
        <v>2</v>
      </c>
      <c r="C178">
        <v>3</v>
      </c>
      <c r="D178">
        <v>2</v>
      </c>
      <c r="E178">
        <v>863</v>
      </c>
      <c r="F178">
        <f t="shared" si="30"/>
        <v>7382.8630000000003</v>
      </c>
      <c r="G178">
        <f t="shared" si="31"/>
        <v>2</v>
      </c>
      <c r="H178">
        <f t="shared" si="32"/>
        <v>3</v>
      </c>
      <c r="I178">
        <f t="shared" si="33"/>
        <v>7</v>
      </c>
      <c r="J178">
        <f t="shared" si="34"/>
        <v>863.00000000028376</v>
      </c>
      <c r="K178">
        <f t="shared" si="35"/>
        <v>7387.8630000000003</v>
      </c>
      <c r="L178">
        <v>5</v>
      </c>
      <c r="M178" t="s">
        <v>16</v>
      </c>
    </row>
    <row r="179" spans="1:13" x14ac:dyDescent="0.25">
      <c r="A179" t="s">
        <v>0</v>
      </c>
      <c r="B179">
        <v>2</v>
      </c>
      <c r="C179">
        <v>3</v>
      </c>
      <c r="D179">
        <v>18</v>
      </c>
      <c r="E179">
        <v>370</v>
      </c>
      <c r="F179">
        <f t="shared" si="30"/>
        <v>7398.37</v>
      </c>
      <c r="G179">
        <f t="shared" si="31"/>
        <v>2</v>
      </c>
      <c r="H179">
        <f t="shared" si="32"/>
        <v>3</v>
      </c>
      <c r="I179">
        <f t="shared" si="33"/>
        <v>23</v>
      </c>
      <c r="J179">
        <f t="shared" si="34"/>
        <v>369.99999999989086</v>
      </c>
      <c r="K179">
        <f t="shared" si="35"/>
        <v>7403.37</v>
      </c>
      <c r="L179">
        <v>5</v>
      </c>
      <c r="M179" t="s">
        <v>16</v>
      </c>
    </row>
    <row r="180" spans="1:13" x14ac:dyDescent="0.25">
      <c r="A180" t="s">
        <v>0</v>
      </c>
      <c r="B180">
        <v>2</v>
      </c>
      <c r="C180">
        <v>3</v>
      </c>
      <c r="D180">
        <v>36</v>
      </c>
      <c r="E180">
        <v>508</v>
      </c>
      <c r="F180">
        <f t="shared" si="30"/>
        <v>7416.5079999999998</v>
      </c>
      <c r="G180">
        <f t="shared" si="31"/>
        <v>2</v>
      </c>
      <c r="H180">
        <f t="shared" si="32"/>
        <v>3</v>
      </c>
      <c r="I180">
        <f t="shared" si="33"/>
        <v>41</v>
      </c>
      <c r="J180">
        <f t="shared" si="34"/>
        <v>507.99999999981083</v>
      </c>
      <c r="K180">
        <f>F180+L180</f>
        <v>7421.5079999999998</v>
      </c>
      <c r="L180">
        <v>5</v>
      </c>
      <c r="M180" t="s">
        <v>16</v>
      </c>
    </row>
    <row r="181" spans="1:13" x14ac:dyDescent="0.25">
      <c r="A181" t="s">
        <v>1</v>
      </c>
      <c r="B181">
        <f t="shared" ref="B181" si="36">_xlfn.FLOOR.MATH(F181/3600)</f>
        <v>1</v>
      </c>
      <c r="C181">
        <f t="shared" ref="C181" si="37">_xlfn.FLOOR.MATH((F181-3600*B181)/60)</f>
        <v>37</v>
      </c>
      <c r="D181">
        <f t="shared" ref="D181" si="38">_xlfn.FLOOR.MATH(F181 - 3600*B181 - 60*C181)</f>
        <v>36</v>
      </c>
      <c r="E181">
        <f t="shared" ref="E181" si="39">(F181-3600*B181 - 60*C181 -D181)*1000</f>
        <v>752.00000000040745</v>
      </c>
      <c r="F181">
        <f>K181-L181</f>
        <v>5856.7520000000004</v>
      </c>
      <c r="G181">
        <v>1</v>
      </c>
      <c r="H181">
        <v>37</v>
      </c>
      <c r="I181">
        <v>38</v>
      </c>
      <c r="J181">
        <v>252</v>
      </c>
      <c r="K181">
        <f t="shared" ref="K181:K202" si="40">G181*60*60 +H181*60 + I181 + J181*0.001</f>
        <v>5858.2520000000004</v>
      </c>
      <c r="L181">
        <v>1.5</v>
      </c>
      <c r="M181" t="s">
        <v>18</v>
      </c>
    </row>
    <row r="182" spans="1:13" x14ac:dyDescent="0.25">
      <c r="A182" t="s">
        <v>1</v>
      </c>
      <c r="B182">
        <f t="shared" ref="B182:B202" si="41">_xlfn.FLOOR.MATH(F182/3600)</f>
        <v>1</v>
      </c>
      <c r="C182">
        <f t="shared" ref="C182:C202" si="42">_xlfn.FLOOR.MATH((F182-3600*B182)/60)</f>
        <v>37</v>
      </c>
      <c r="D182">
        <f t="shared" ref="D182:D202" si="43">_xlfn.FLOOR.MATH(F182 - 3600*B182 - 60*C182)</f>
        <v>56</v>
      </c>
      <c r="E182">
        <f t="shared" ref="E182:E202" si="44">(F182-3600*B182 - 60*C182 -D182)*1000</f>
        <v>943.000000000211</v>
      </c>
      <c r="F182">
        <f t="shared" ref="F182:F202" si="45">K182-L182</f>
        <v>5876.9430000000002</v>
      </c>
      <c r="G182">
        <v>1</v>
      </c>
      <c r="H182">
        <v>37</v>
      </c>
      <c r="I182">
        <v>58</v>
      </c>
      <c r="J182">
        <v>443</v>
      </c>
      <c r="K182">
        <f t="shared" si="40"/>
        <v>5878.4430000000002</v>
      </c>
      <c r="L182">
        <v>1.5</v>
      </c>
      <c r="M182" t="s">
        <v>18</v>
      </c>
    </row>
    <row r="183" spans="1:13" x14ac:dyDescent="0.25">
      <c r="A183" t="s">
        <v>1</v>
      </c>
      <c r="B183">
        <f t="shared" si="41"/>
        <v>1</v>
      </c>
      <c r="C183">
        <f t="shared" si="42"/>
        <v>38</v>
      </c>
      <c r="D183">
        <f t="shared" si="43"/>
        <v>13</v>
      </c>
      <c r="E183">
        <f t="shared" si="44"/>
        <v>510.00000000021828</v>
      </c>
      <c r="F183">
        <f t="shared" si="45"/>
        <v>5893.51</v>
      </c>
      <c r="G183">
        <v>1</v>
      </c>
      <c r="H183">
        <v>38</v>
      </c>
      <c r="I183">
        <v>15</v>
      </c>
      <c r="J183">
        <v>10</v>
      </c>
      <c r="K183">
        <f t="shared" si="40"/>
        <v>5895.01</v>
      </c>
      <c r="L183">
        <v>1.5</v>
      </c>
      <c r="M183" t="s">
        <v>18</v>
      </c>
    </row>
    <row r="184" spans="1:13" x14ac:dyDescent="0.25">
      <c r="A184" t="s">
        <v>1</v>
      </c>
      <c r="B184">
        <f t="shared" si="41"/>
        <v>1</v>
      </c>
      <c r="C184">
        <f t="shared" si="42"/>
        <v>39</v>
      </c>
      <c r="D184">
        <f t="shared" si="43"/>
        <v>13</v>
      </c>
      <c r="E184">
        <f t="shared" si="44"/>
        <v>78.000000000429281</v>
      </c>
      <c r="F184">
        <f t="shared" si="45"/>
        <v>5953.0780000000004</v>
      </c>
      <c r="G184">
        <v>1</v>
      </c>
      <c r="H184">
        <v>39</v>
      </c>
      <c r="I184">
        <v>14</v>
      </c>
      <c r="J184">
        <v>578</v>
      </c>
      <c r="K184">
        <f t="shared" si="40"/>
        <v>5954.5780000000004</v>
      </c>
      <c r="L184">
        <v>1.5</v>
      </c>
      <c r="M184" t="s">
        <v>18</v>
      </c>
    </row>
    <row r="185" spans="1:13" x14ac:dyDescent="0.25">
      <c r="A185" t="s">
        <v>1</v>
      </c>
      <c r="B185">
        <f t="shared" si="41"/>
        <v>1</v>
      </c>
      <c r="C185">
        <f t="shared" si="42"/>
        <v>39</v>
      </c>
      <c r="D185">
        <f t="shared" si="43"/>
        <v>33</v>
      </c>
      <c r="E185">
        <f t="shared" si="44"/>
        <v>583.99999999983265</v>
      </c>
      <c r="F185">
        <f t="shared" si="45"/>
        <v>5973.5839999999998</v>
      </c>
      <c r="G185">
        <v>1</v>
      </c>
      <c r="H185">
        <v>39</v>
      </c>
      <c r="I185">
        <v>35</v>
      </c>
      <c r="J185">
        <v>84</v>
      </c>
      <c r="K185">
        <f t="shared" si="40"/>
        <v>5975.0839999999998</v>
      </c>
      <c r="L185">
        <v>1.5</v>
      </c>
      <c r="M185" t="s">
        <v>18</v>
      </c>
    </row>
    <row r="186" spans="1:13" x14ac:dyDescent="0.25">
      <c r="A186" t="s">
        <v>1</v>
      </c>
      <c r="B186">
        <f t="shared" si="41"/>
        <v>1</v>
      </c>
      <c r="C186">
        <f t="shared" si="42"/>
        <v>39</v>
      </c>
      <c r="D186">
        <f t="shared" si="43"/>
        <v>50</v>
      </c>
      <c r="E186">
        <f t="shared" si="44"/>
        <v>252.00000000040745</v>
      </c>
      <c r="F186">
        <f t="shared" si="45"/>
        <v>5990.2520000000004</v>
      </c>
      <c r="G186">
        <v>1</v>
      </c>
      <c r="H186">
        <v>39</v>
      </c>
      <c r="I186">
        <v>51</v>
      </c>
      <c r="J186">
        <v>752</v>
      </c>
      <c r="K186">
        <f t="shared" si="40"/>
        <v>5991.7520000000004</v>
      </c>
      <c r="L186">
        <v>1.5</v>
      </c>
      <c r="M186" t="s">
        <v>18</v>
      </c>
    </row>
    <row r="187" spans="1:13" x14ac:dyDescent="0.25">
      <c r="A187" t="s">
        <v>1</v>
      </c>
      <c r="B187">
        <f t="shared" si="41"/>
        <v>1</v>
      </c>
      <c r="C187">
        <f t="shared" si="42"/>
        <v>40</v>
      </c>
      <c r="D187">
        <f t="shared" si="43"/>
        <v>6</v>
      </c>
      <c r="E187">
        <f t="shared" si="44"/>
        <v>706.00000000013097</v>
      </c>
      <c r="F187">
        <f t="shared" si="45"/>
        <v>6006.7060000000001</v>
      </c>
      <c r="G187">
        <v>1</v>
      </c>
      <c r="H187">
        <v>40</v>
      </c>
      <c r="I187">
        <v>8</v>
      </c>
      <c r="J187">
        <v>206</v>
      </c>
      <c r="K187">
        <f t="shared" si="40"/>
        <v>6008.2060000000001</v>
      </c>
      <c r="L187">
        <v>1.5</v>
      </c>
      <c r="M187" t="s">
        <v>18</v>
      </c>
    </row>
    <row r="188" spans="1:13" x14ac:dyDescent="0.25">
      <c r="A188" t="s">
        <v>1</v>
      </c>
      <c r="B188">
        <f t="shared" si="41"/>
        <v>1</v>
      </c>
      <c r="C188">
        <f t="shared" si="42"/>
        <v>40</v>
      </c>
      <c r="D188">
        <f t="shared" si="43"/>
        <v>22</v>
      </c>
      <c r="E188">
        <f t="shared" si="44"/>
        <v>458.99999999983265</v>
      </c>
      <c r="F188">
        <f t="shared" si="45"/>
        <v>6022.4589999999998</v>
      </c>
      <c r="G188">
        <v>1</v>
      </c>
      <c r="H188">
        <v>40</v>
      </c>
      <c r="I188">
        <v>23</v>
      </c>
      <c r="J188">
        <v>959</v>
      </c>
      <c r="K188">
        <f t="shared" si="40"/>
        <v>6023.9589999999998</v>
      </c>
      <c r="L188">
        <v>1.5</v>
      </c>
      <c r="M188" t="s">
        <v>18</v>
      </c>
    </row>
    <row r="189" spans="1:13" x14ac:dyDescent="0.25">
      <c r="A189" t="s">
        <v>1</v>
      </c>
      <c r="B189">
        <f t="shared" si="41"/>
        <v>1</v>
      </c>
      <c r="C189">
        <f t="shared" si="42"/>
        <v>40</v>
      </c>
      <c r="D189">
        <f t="shared" si="43"/>
        <v>39</v>
      </c>
      <c r="E189">
        <f t="shared" si="44"/>
        <v>680.00000000029104</v>
      </c>
      <c r="F189">
        <f t="shared" si="45"/>
        <v>6039.68</v>
      </c>
      <c r="G189">
        <v>1</v>
      </c>
      <c r="H189">
        <v>40</v>
      </c>
      <c r="I189">
        <v>41</v>
      </c>
      <c r="J189">
        <v>180</v>
      </c>
      <c r="K189">
        <f t="shared" si="40"/>
        <v>6041.18</v>
      </c>
      <c r="L189">
        <v>1.5</v>
      </c>
      <c r="M189" t="s">
        <v>18</v>
      </c>
    </row>
    <row r="190" spans="1:13" x14ac:dyDescent="0.25">
      <c r="A190" t="s">
        <v>1</v>
      </c>
      <c r="B190">
        <f t="shared" si="41"/>
        <v>1</v>
      </c>
      <c r="C190">
        <f t="shared" si="42"/>
        <v>40</v>
      </c>
      <c r="D190">
        <f t="shared" si="43"/>
        <v>56</v>
      </c>
      <c r="E190">
        <f t="shared" si="44"/>
        <v>617.00000000018917</v>
      </c>
      <c r="F190">
        <f t="shared" si="45"/>
        <v>6056.6170000000002</v>
      </c>
      <c r="G190">
        <v>1</v>
      </c>
      <c r="H190">
        <v>40</v>
      </c>
      <c r="I190">
        <v>58</v>
      </c>
      <c r="J190">
        <v>117</v>
      </c>
      <c r="K190">
        <f t="shared" si="40"/>
        <v>6058.1170000000002</v>
      </c>
      <c r="L190">
        <v>1.5</v>
      </c>
      <c r="M190" t="s">
        <v>18</v>
      </c>
    </row>
    <row r="191" spans="1:13" x14ac:dyDescent="0.25">
      <c r="A191" t="s">
        <v>1</v>
      </c>
      <c r="B191">
        <f t="shared" si="41"/>
        <v>1</v>
      </c>
      <c r="C191">
        <f t="shared" si="42"/>
        <v>41</v>
      </c>
      <c r="D191">
        <f t="shared" si="43"/>
        <v>12</v>
      </c>
      <c r="E191">
        <f t="shared" si="44"/>
        <v>712.99999999973807</v>
      </c>
      <c r="F191">
        <f t="shared" si="45"/>
        <v>6072.7129999999997</v>
      </c>
      <c r="G191">
        <v>1</v>
      </c>
      <c r="H191">
        <v>41</v>
      </c>
      <c r="I191">
        <v>14</v>
      </c>
      <c r="J191">
        <v>213</v>
      </c>
      <c r="K191">
        <f t="shared" si="40"/>
        <v>6074.2129999999997</v>
      </c>
      <c r="L191">
        <v>1.5</v>
      </c>
      <c r="M191" t="s">
        <v>18</v>
      </c>
    </row>
    <row r="192" spans="1:13" x14ac:dyDescent="0.25">
      <c r="A192" t="s">
        <v>1</v>
      </c>
      <c r="B192">
        <f t="shared" si="41"/>
        <v>1</v>
      </c>
      <c r="C192">
        <f t="shared" si="42"/>
        <v>41</v>
      </c>
      <c r="D192">
        <f t="shared" si="43"/>
        <v>30</v>
      </c>
      <c r="E192">
        <f t="shared" si="44"/>
        <v>886.99999999971624</v>
      </c>
      <c r="F192">
        <f t="shared" si="45"/>
        <v>6090.8869999999997</v>
      </c>
      <c r="G192">
        <v>1</v>
      </c>
      <c r="H192">
        <v>41</v>
      </c>
      <c r="I192">
        <v>32</v>
      </c>
      <c r="J192">
        <v>387</v>
      </c>
      <c r="K192">
        <f t="shared" si="40"/>
        <v>6092.3869999999997</v>
      </c>
      <c r="L192">
        <v>1.5</v>
      </c>
      <c r="M192" t="s">
        <v>18</v>
      </c>
    </row>
    <row r="193" spans="1:13" x14ac:dyDescent="0.25">
      <c r="A193" t="s">
        <v>1</v>
      </c>
      <c r="B193">
        <f t="shared" si="41"/>
        <v>1</v>
      </c>
      <c r="C193">
        <f t="shared" si="42"/>
        <v>41</v>
      </c>
      <c r="D193">
        <f t="shared" si="43"/>
        <v>52</v>
      </c>
      <c r="E193">
        <f t="shared" si="44"/>
        <v>487.00000000008004</v>
      </c>
      <c r="F193">
        <f t="shared" si="45"/>
        <v>6112.4870000000001</v>
      </c>
      <c r="G193">
        <v>1</v>
      </c>
      <c r="H193">
        <v>41</v>
      </c>
      <c r="I193">
        <v>53</v>
      </c>
      <c r="J193">
        <v>987</v>
      </c>
      <c r="K193">
        <f t="shared" si="40"/>
        <v>6113.9870000000001</v>
      </c>
      <c r="L193">
        <v>1.5</v>
      </c>
      <c r="M193" t="s">
        <v>18</v>
      </c>
    </row>
    <row r="194" spans="1:13" x14ac:dyDescent="0.25">
      <c r="A194" t="s">
        <v>1</v>
      </c>
      <c r="B194">
        <f t="shared" si="41"/>
        <v>1</v>
      </c>
      <c r="C194">
        <f t="shared" si="42"/>
        <v>42</v>
      </c>
      <c r="D194">
        <f t="shared" si="43"/>
        <v>15</v>
      </c>
      <c r="E194">
        <f t="shared" si="44"/>
        <v>345.00000000025466</v>
      </c>
      <c r="F194">
        <f t="shared" si="45"/>
        <v>6135.3450000000003</v>
      </c>
      <c r="G194">
        <v>1</v>
      </c>
      <c r="H194">
        <v>42</v>
      </c>
      <c r="I194">
        <v>16</v>
      </c>
      <c r="J194">
        <v>845</v>
      </c>
      <c r="K194">
        <f t="shared" si="40"/>
        <v>6136.8450000000003</v>
      </c>
      <c r="L194">
        <v>1.5</v>
      </c>
      <c r="M194" t="s">
        <v>18</v>
      </c>
    </row>
    <row r="195" spans="1:13" x14ac:dyDescent="0.25">
      <c r="A195" t="s">
        <v>1</v>
      </c>
      <c r="B195">
        <f t="shared" si="41"/>
        <v>1</v>
      </c>
      <c r="C195">
        <f t="shared" si="42"/>
        <v>42</v>
      </c>
      <c r="D195">
        <f t="shared" si="43"/>
        <v>34</v>
      </c>
      <c r="E195">
        <f t="shared" si="44"/>
        <v>737.00000000008004</v>
      </c>
      <c r="F195">
        <f t="shared" si="45"/>
        <v>6154.7370000000001</v>
      </c>
      <c r="G195">
        <v>1</v>
      </c>
      <c r="H195">
        <v>42</v>
      </c>
      <c r="I195">
        <v>36</v>
      </c>
      <c r="J195">
        <v>237</v>
      </c>
      <c r="K195">
        <f t="shared" si="40"/>
        <v>6156.2370000000001</v>
      </c>
      <c r="L195">
        <v>1.5</v>
      </c>
      <c r="M195" t="s">
        <v>18</v>
      </c>
    </row>
    <row r="196" spans="1:13" x14ac:dyDescent="0.25">
      <c r="A196" t="s">
        <v>1</v>
      </c>
      <c r="B196">
        <f t="shared" si="41"/>
        <v>1</v>
      </c>
      <c r="C196">
        <f t="shared" si="42"/>
        <v>42</v>
      </c>
      <c r="D196">
        <f t="shared" si="43"/>
        <v>52</v>
      </c>
      <c r="E196">
        <f t="shared" si="44"/>
        <v>601.99999999986176</v>
      </c>
      <c r="F196">
        <f t="shared" si="45"/>
        <v>6172.6019999999999</v>
      </c>
      <c r="G196">
        <v>1</v>
      </c>
      <c r="H196">
        <v>42</v>
      </c>
      <c r="I196">
        <v>54</v>
      </c>
      <c r="J196">
        <v>102</v>
      </c>
      <c r="K196">
        <f t="shared" si="40"/>
        <v>6174.1019999999999</v>
      </c>
      <c r="L196">
        <v>1.5</v>
      </c>
      <c r="M196" t="s">
        <v>18</v>
      </c>
    </row>
    <row r="197" spans="1:13" x14ac:dyDescent="0.25">
      <c r="A197" t="s">
        <v>1</v>
      </c>
      <c r="B197">
        <f t="shared" si="41"/>
        <v>1</v>
      </c>
      <c r="C197">
        <f t="shared" si="42"/>
        <v>43</v>
      </c>
      <c r="D197">
        <f t="shared" si="43"/>
        <v>11</v>
      </c>
      <c r="E197">
        <f t="shared" si="44"/>
        <v>287.99999999955617</v>
      </c>
      <c r="F197">
        <f t="shared" si="45"/>
        <v>6191.2879999999996</v>
      </c>
      <c r="G197">
        <v>1</v>
      </c>
      <c r="H197">
        <v>43</v>
      </c>
      <c r="I197">
        <v>12</v>
      </c>
      <c r="J197">
        <v>788</v>
      </c>
      <c r="K197">
        <f t="shared" si="40"/>
        <v>6192.7879999999996</v>
      </c>
      <c r="L197">
        <v>1.5</v>
      </c>
      <c r="M197" t="s">
        <v>18</v>
      </c>
    </row>
    <row r="198" spans="1:13" x14ac:dyDescent="0.25">
      <c r="A198" t="s">
        <v>1</v>
      </c>
      <c r="B198">
        <f t="shared" si="41"/>
        <v>1</v>
      </c>
      <c r="C198">
        <f t="shared" si="42"/>
        <v>43</v>
      </c>
      <c r="D198">
        <f t="shared" si="43"/>
        <v>25</v>
      </c>
      <c r="E198">
        <f t="shared" si="44"/>
        <v>731.9999999999709</v>
      </c>
      <c r="F198">
        <f t="shared" si="45"/>
        <v>6205.732</v>
      </c>
      <c r="G198">
        <v>1</v>
      </c>
      <c r="H198">
        <v>43</v>
      </c>
      <c r="I198">
        <v>27</v>
      </c>
      <c r="J198">
        <v>232</v>
      </c>
      <c r="K198">
        <f t="shared" si="40"/>
        <v>6207.232</v>
      </c>
      <c r="L198">
        <v>1.5</v>
      </c>
      <c r="M198" t="s">
        <v>18</v>
      </c>
    </row>
    <row r="199" spans="1:13" x14ac:dyDescent="0.25">
      <c r="A199" t="s">
        <v>1</v>
      </c>
      <c r="B199">
        <f t="shared" si="41"/>
        <v>1</v>
      </c>
      <c r="C199">
        <f t="shared" si="42"/>
        <v>43</v>
      </c>
      <c r="D199">
        <f t="shared" si="43"/>
        <v>40</v>
      </c>
      <c r="E199">
        <f t="shared" si="44"/>
        <v>838.99999999994179</v>
      </c>
      <c r="F199">
        <f t="shared" si="45"/>
        <v>6220.8389999999999</v>
      </c>
      <c r="G199">
        <v>1</v>
      </c>
      <c r="H199">
        <v>43</v>
      </c>
      <c r="I199">
        <v>42</v>
      </c>
      <c r="J199">
        <v>339</v>
      </c>
      <c r="K199">
        <f t="shared" si="40"/>
        <v>6222.3389999999999</v>
      </c>
      <c r="L199">
        <v>1.5</v>
      </c>
      <c r="M199" t="s">
        <v>18</v>
      </c>
    </row>
    <row r="200" spans="1:13" x14ac:dyDescent="0.25">
      <c r="A200" t="s">
        <v>1</v>
      </c>
      <c r="B200">
        <f t="shared" si="41"/>
        <v>1</v>
      </c>
      <c r="C200">
        <f t="shared" si="42"/>
        <v>43</v>
      </c>
      <c r="D200">
        <f t="shared" si="43"/>
        <v>54</v>
      </c>
      <c r="E200">
        <f t="shared" si="44"/>
        <v>782.0000000001528</v>
      </c>
      <c r="F200">
        <f t="shared" si="45"/>
        <v>6234.7820000000002</v>
      </c>
      <c r="G200">
        <v>1</v>
      </c>
      <c r="H200">
        <v>43</v>
      </c>
      <c r="I200">
        <v>56</v>
      </c>
      <c r="J200">
        <v>282</v>
      </c>
      <c r="K200">
        <f t="shared" si="40"/>
        <v>6236.2820000000002</v>
      </c>
      <c r="L200">
        <v>1.5</v>
      </c>
      <c r="M200" t="s">
        <v>18</v>
      </c>
    </row>
    <row r="201" spans="1:13" x14ac:dyDescent="0.25">
      <c r="A201" t="s">
        <v>1</v>
      </c>
      <c r="B201">
        <f t="shared" si="41"/>
        <v>1</v>
      </c>
      <c r="C201">
        <f t="shared" si="42"/>
        <v>44</v>
      </c>
      <c r="D201">
        <f t="shared" si="43"/>
        <v>10</v>
      </c>
      <c r="E201">
        <f t="shared" si="44"/>
        <v>878.99999999990541</v>
      </c>
      <c r="F201">
        <f t="shared" si="45"/>
        <v>6250.8789999999999</v>
      </c>
      <c r="G201">
        <v>1</v>
      </c>
      <c r="H201">
        <v>44</v>
      </c>
      <c r="I201">
        <v>12</v>
      </c>
      <c r="J201">
        <v>379</v>
      </c>
      <c r="K201">
        <f t="shared" si="40"/>
        <v>6252.3789999999999</v>
      </c>
      <c r="L201">
        <v>1.5</v>
      </c>
      <c r="M201" t="s">
        <v>18</v>
      </c>
    </row>
    <row r="202" spans="1:13" x14ac:dyDescent="0.25">
      <c r="A202" t="s">
        <v>1</v>
      </c>
      <c r="B202">
        <f t="shared" si="41"/>
        <v>1</v>
      </c>
      <c r="C202">
        <f t="shared" si="42"/>
        <v>44</v>
      </c>
      <c r="D202">
        <f t="shared" si="43"/>
        <v>29</v>
      </c>
      <c r="E202">
        <f t="shared" si="44"/>
        <v>792.00000000037107</v>
      </c>
      <c r="F202">
        <f t="shared" si="45"/>
        <v>6269.7920000000004</v>
      </c>
      <c r="G202">
        <v>1</v>
      </c>
      <c r="H202">
        <v>44</v>
      </c>
      <c r="I202">
        <v>31</v>
      </c>
      <c r="J202">
        <v>292</v>
      </c>
      <c r="K202">
        <f t="shared" si="40"/>
        <v>6271.2920000000004</v>
      </c>
      <c r="L202">
        <v>1.5</v>
      </c>
      <c r="M202" t="s">
        <v>18</v>
      </c>
    </row>
  </sheetData>
  <autoFilter ref="A1:L180" xr:uid="{E1BFDFDD-7D07-40A7-B127-DC971A4F4B79}">
    <sortState ref="A2:L180">
      <sortCondition ref="F1:F180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Concha</dc:creator>
  <cp:lastModifiedBy>Miguel Concha</cp:lastModifiedBy>
  <dcterms:created xsi:type="dcterms:W3CDTF">2025-05-06T10:19:18Z</dcterms:created>
  <dcterms:modified xsi:type="dcterms:W3CDTF">2025-05-09T11:12:03Z</dcterms:modified>
</cp:coreProperties>
</file>